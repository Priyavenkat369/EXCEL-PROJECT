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4be8b76ebf15655/Documents/"/>
    </mc:Choice>
  </mc:AlternateContent>
  <xr:revisionPtr revIDLastSave="44" documentId="14_{D0CAC055-0785-48B5-BD7E-D319CD319882}" xr6:coauthVersionLast="47" xr6:coauthVersionMax="47" xr10:uidLastSave="{79A861D9-A234-4790-AB6A-DDB4E653B16B}"/>
  <bookViews>
    <workbookView xWindow="-120" yWindow="-120" windowWidth="29040" windowHeight="16440" firstSheet="27" activeTab="33" xr2:uid="{B4DF1E8C-2EA3-4F2C-B730-5F467C853ECA}"/>
  </bookViews>
  <sheets>
    <sheet name="SALARY SHEET" sheetId="1" r:id="rId1"/>
    <sheet name="SALARY SHEET 2" sheetId="3" r:id="rId2"/>
    <sheet name="MATHEMATICAL FUNCTION" sheetId="5" r:id="rId3"/>
    <sheet name="IF CONDITION" sheetId="6" r:id="rId4"/>
    <sheet name="FINANCIAL CALCULATION" sheetId="7" r:id="rId5"/>
    <sheet name="TIME AND DATE" sheetId="8" r:id="rId6"/>
    <sheet name="COUNT" sheetId="9" r:id="rId7"/>
    <sheet name="ELIGBLE OR NOT ELIGBLE" sheetId="10" r:id="rId8"/>
    <sheet name="FORMULA FOR EXCEL BEGINNERS" sheetId="11" r:id="rId9"/>
    <sheet name="SUMIF VS COUNTIF VS AVERAGEIF" sheetId="12" r:id="rId10"/>
    <sheet name="SUMIFS_x0009__x0009_" sheetId="13" r:id="rId11"/>
    <sheet name="SUMIF VS SUM+FILTER FORMULA_x0009__x0009__x0009_" sheetId="15" r:id="rId12"/>
    <sheet name="DATE VS EDATE FORMULA_x0009__x0009__x0009__x0009__x0009__x0009_" sheetId="16" r:id="rId13"/>
    <sheet name="VLOOKUP 1" sheetId="17" r:id="rId14"/>
    <sheet name="VLOOKUP 2" sheetId="18" r:id="rId15"/>
    <sheet name="VLOOKUP 3" sheetId="19" r:id="rId16"/>
    <sheet name="VLOOKUP 4" sheetId="20" r:id="rId17"/>
    <sheet name="XLOOKUP" sheetId="22" r:id="rId18"/>
    <sheet name="HLOOKUP" sheetId="21" r:id="rId19"/>
    <sheet name="LOOKUP FORMULA" sheetId="26" r:id="rId20"/>
    <sheet name="INDEX FUNCTION" sheetId="28" r:id="rId21"/>
    <sheet name="MATCH FUNCTION" sheetId="29" r:id="rId22"/>
    <sheet name="INDEX + MATCH" sheetId="30" r:id="rId23"/>
    <sheet name="POVIT TABLE AND CHART" sheetId="33" r:id="rId24"/>
    <sheet name="DATA VALIDATION AND FILTER_x0009__x0009__x0009__x0009__x0009_" sheetId="31" r:id="rId25"/>
    <sheet name="DATA 1" sheetId="38" r:id="rId26"/>
    <sheet name="DATA 2" sheetId="39" r:id="rId27"/>
    <sheet name="DATA 3" sheetId="40" r:id="rId28"/>
    <sheet name="DATA 4" sheetId="41" r:id="rId29"/>
    <sheet name="DATA 5" sheetId="44" r:id="rId30"/>
    <sheet name="DATA 6" sheetId="45" r:id="rId31"/>
    <sheet name="SALES DATA_x0009__x0009__x0009__x0009__x0009__x0009__x0009_" sheetId="36" r:id="rId32"/>
    <sheet name="DASHBOARD" sheetId="37" r:id="rId33"/>
    <sheet name="PIVOT TABLE SUMMARY" sheetId="43" r:id="rId34"/>
  </sheets>
  <definedNames>
    <definedName name="_xlnm._FilterDatabase" localSheetId="24" hidden="1">'DATA VALIDATION AND FILTER					'!$A$2:$H$17</definedName>
  </definedNames>
  <calcPr calcId="191029"/>
  <pivotCaches>
    <pivotCache cacheId="0" r:id="rId35"/>
    <pivotCache cacheId="1"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1" l="1"/>
  <c r="D19" i="22"/>
  <c r="D18" i="22"/>
  <c r="D17" i="22"/>
  <c r="K5" i="5"/>
  <c r="G3" i="16"/>
  <c r="D20" i="15" a="1"/>
  <c r="D20" i="15" s="1"/>
  <c r="D17" i="15"/>
  <c r="B17" i="15"/>
  <c r="G3" i="6"/>
  <c r="C5" i="13"/>
  <c r="B6" i="43"/>
  <c r="F7" i="43"/>
  <c r="F6" i="43"/>
  <c r="F5" i="43"/>
  <c r="D8" i="43"/>
  <c r="D7" i="43"/>
  <c r="D6" i="43"/>
  <c r="D5" i="43"/>
  <c r="B7" i="43"/>
  <c r="B5" i="43"/>
  <c r="G4" i="20"/>
  <c r="V6" i="5"/>
  <c r="C25" i="30"/>
  <c r="C24" i="30"/>
  <c r="K33" i="5"/>
  <c r="K27" i="5"/>
  <c r="C23" i="30"/>
  <c r="C19" i="30"/>
  <c r="C17" i="29"/>
  <c r="C16" i="29"/>
  <c r="C17" i="28"/>
  <c r="C16" i="28"/>
  <c r="B43" i="26"/>
  <c r="B42" i="26"/>
  <c r="B41" i="26"/>
  <c r="B40" i="26"/>
  <c r="B39" i="26"/>
  <c r="E16" i="1" a="1"/>
  <c r="E16" i="1" s="1"/>
  <c r="D16" i="1"/>
  <c r="C16" i="1"/>
  <c r="B16" i="1"/>
  <c r="D26" i="26"/>
  <c r="D25" i="26"/>
  <c r="D24" i="26"/>
  <c r="D23" i="26"/>
  <c r="D22" i="26"/>
  <c r="H18" i="26"/>
  <c r="G18" i="26"/>
  <c r="F18" i="26"/>
  <c r="E18" i="26"/>
  <c r="D18" i="26"/>
  <c r="C18" i="26"/>
  <c r="B18" i="26"/>
  <c r="B20" i="21"/>
  <c r="I4" i="19"/>
  <c r="H4" i="19"/>
  <c r="B22" i="21"/>
  <c r="B21" i="21"/>
  <c r="B11" i="21"/>
  <c r="B10" i="21"/>
  <c r="D21" i="22"/>
  <c r="D20" i="22"/>
  <c r="I16" i="19"/>
  <c r="I15" i="19"/>
  <c r="I14" i="19"/>
  <c r="I13" i="19"/>
  <c r="I12" i="19"/>
  <c r="I11" i="19"/>
  <c r="I10" i="19"/>
  <c r="I9" i="19"/>
  <c r="I5" i="19"/>
  <c r="I6" i="19"/>
  <c r="I7" i="19"/>
  <c r="I8" i="19"/>
  <c r="H16" i="19"/>
  <c r="H15" i="19"/>
  <c r="H13" i="19"/>
  <c r="H12" i="19"/>
  <c r="H11" i="19"/>
  <c r="H10" i="19"/>
  <c r="H9" i="19"/>
  <c r="H5" i="19"/>
  <c r="H6" i="19"/>
  <c r="H7" i="19"/>
  <c r="H8" i="19"/>
  <c r="H14" i="19"/>
  <c r="I4" i="18"/>
  <c r="G16" i="20"/>
  <c r="G15" i="20"/>
  <c r="G14" i="20"/>
  <c r="G13" i="20"/>
  <c r="G12" i="20"/>
  <c r="G11" i="20"/>
  <c r="G10" i="20"/>
  <c r="G9" i="20"/>
  <c r="G5" i="20"/>
  <c r="G6" i="20"/>
  <c r="G7" i="20"/>
  <c r="G8" i="20"/>
  <c r="I16" i="18"/>
  <c r="I15" i="18"/>
  <c r="I14" i="18"/>
  <c r="I12" i="18"/>
  <c r="I11" i="18"/>
  <c r="I10" i="18"/>
  <c r="I9" i="18"/>
  <c r="I5" i="18"/>
  <c r="I6" i="18"/>
  <c r="I7" i="18"/>
  <c r="I8" i="18"/>
  <c r="I13" i="18"/>
  <c r="H16" i="18"/>
  <c r="H15" i="18"/>
  <c r="H14" i="18"/>
  <c r="H12" i="18"/>
  <c r="H11" i="18"/>
  <c r="H10" i="18"/>
  <c r="H9" i="18"/>
  <c r="H5" i="18"/>
  <c r="H6" i="18"/>
  <c r="H7" i="18"/>
  <c r="H8" i="18"/>
  <c r="H13" i="18"/>
  <c r="H4" i="18"/>
  <c r="G8" i="17"/>
  <c r="F3" i="16"/>
  <c r="B5" i="12"/>
  <c r="B3" i="12"/>
  <c r="B4" i="12"/>
  <c r="G4" i="16"/>
  <c r="G5" i="16"/>
  <c r="G6" i="16"/>
  <c r="G7" i="16"/>
  <c r="G8" i="16"/>
  <c r="G9" i="16"/>
  <c r="G10" i="16"/>
  <c r="G11" i="16"/>
  <c r="G12" i="16"/>
  <c r="F4" i="16"/>
  <c r="F5" i="16"/>
  <c r="F6" i="16"/>
  <c r="F7" i="16"/>
  <c r="F8" i="16"/>
  <c r="F9" i="16"/>
  <c r="F10" i="16"/>
  <c r="F11" i="16"/>
  <c r="F12" i="16"/>
  <c r="B11" i="8"/>
  <c r="B18" i="15"/>
  <c r="B19" i="15"/>
  <c r="B20" i="15"/>
  <c r="H36" i="6"/>
  <c r="I36" i="6" s="1" a="1"/>
  <c r="I36" i="6" s="1"/>
  <c r="H37" i="6"/>
  <c r="I37" i="6" s="1" a="1"/>
  <c r="I37" i="6" s="1"/>
  <c r="H38" i="6"/>
  <c r="I38" i="6" s="1" a="1"/>
  <c r="I38" i="6" s="1"/>
  <c r="H39" i="6"/>
  <c r="I39" i="6" s="1" a="1"/>
  <c r="I39" i="6" s="1"/>
  <c r="H40" i="6"/>
  <c r="I40" i="6" s="1" a="1"/>
  <c r="I40" i="6" s="1"/>
  <c r="H41" i="6"/>
  <c r="I41" i="6" s="1" a="1"/>
  <c r="I41" i="6" s="1"/>
  <c r="H42" i="6"/>
  <c r="I42" i="6" s="1" a="1"/>
  <c r="I42" i="6" s="1"/>
  <c r="H43" i="6"/>
  <c r="I43" i="6" s="1" a="1"/>
  <c r="I43" i="6" s="1"/>
  <c r="J43" i="6" s="1"/>
  <c r="H44" i="6"/>
  <c r="I44" i="6" s="1" a="1"/>
  <c r="I44" i="6" s="1"/>
  <c r="J44" i="6" s="1"/>
  <c r="H35" i="6"/>
  <c r="I35" i="6" s="1" a="1"/>
  <c r="I35" i="6" s="1"/>
  <c r="W19" i="6" a="1"/>
  <c r="W19" i="6" s="1"/>
  <c r="W20" i="6" a="1"/>
  <c r="W20" i="6" s="1"/>
  <c r="W21" i="6" a="1"/>
  <c r="W21" i="6" s="1"/>
  <c r="W22" i="6" a="1"/>
  <c r="W22" i="6" s="1"/>
  <c r="W23" i="6" a="1"/>
  <c r="W23" i="6"/>
  <c r="W24" i="6" a="1"/>
  <c r="W24" i="6" s="1"/>
  <c r="W25" i="6" a="1"/>
  <c r="W25" i="6" s="1"/>
  <c r="W26" i="6" a="1"/>
  <c r="W26" i="6" s="1"/>
  <c r="W27" i="6" a="1"/>
  <c r="W27" i="6" s="1"/>
  <c r="W28" i="6" a="1"/>
  <c r="W28" i="6" s="1"/>
  <c r="M20" i="6" a="1"/>
  <c r="M20" i="6" s="1"/>
  <c r="M21" i="6" a="1"/>
  <c r="M21" i="6" s="1"/>
  <c r="M22" i="6" a="1"/>
  <c r="M22" i="6" s="1"/>
  <c r="M23" i="6" a="1"/>
  <c r="M23" i="6" s="1"/>
  <c r="M24" i="6" a="1"/>
  <c r="M24" i="6" s="1"/>
  <c r="M25" i="6" a="1"/>
  <c r="M25" i="6" s="1"/>
  <c r="M26" i="6" a="1"/>
  <c r="M26" i="6" s="1"/>
  <c r="M27" i="6" a="1"/>
  <c r="M27" i="6" s="1"/>
  <c r="M28" i="6" a="1"/>
  <c r="M28" i="6" s="1"/>
  <c r="M19" i="6" a="1"/>
  <c r="M19" i="6" s="1"/>
  <c r="E20" i="6"/>
  <c r="E21" i="6"/>
  <c r="E22" i="6"/>
  <c r="E23" i="6"/>
  <c r="E24" i="6"/>
  <c r="E25" i="6"/>
  <c r="E26" i="6"/>
  <c r="E27" i="6"/>
  <c r="E28" i="6"/>
  <c r="E19" i="6"/>
  <c r="D5" i="13"/>
  <c r="H14" i="8"/>
  <c r="H13" i="8"/>
  <c r="H12" i="8"/>
  <c r="C15" i="11"/>
  <c r="C14" i="11"/>
  <c r="C13" i="11"/>
  <c r="C12" i="11"/>
  <c r="Q4" i="6" a="1"/>
  <c r="Q4" i="6" s="1"/>
  <c r="Q5" i="6" a="1"/>
  <c r="Q5" i="6" s="1"/>
  <c r="Q6" i="6" a="1"/>
  <c r="Q6" i="6" s="1"/>
  <c r="Q7" i="6" a="1"/>
  <c r="Q7" i="6" s="1"/>
  <c r="Q8" i="6" a="1"/>
  <c r="Q8" i="6" s="1"/>
  <c r="Q9" i="6" a="1"/>
  <c r="Q9" i="6" s="1"/>
  <c r="Q10" i="6" a="1"/>
  <c r="Q10" i="6" s="1"/>
  <c r="Q11" i="6" a="1"/>
  <c r="Q11" i="6" s="1"/>
  <c r="Q12" i="6" a="1"/>
  <c r="Q12" i="6" s="1"/>
  <c r="Q3" i="6" a="1"/>
  <c r="Q3" i="6" s="1"/>
  <c r="G4" i="6"/>
  <c r="G5" i="6"/>
  <c r="G6" i="6"/>
  <c r="G7" i="6"/>
  <c r="G8" i="6"/>
  <c r="G9" i="6"/>
  <c r="G10" i="6"/>
  <c r="D6" i="6"/>
  <c r="D7" i="6"/>
  <c r="D8" i="6"/>
  <c r="D9" i="6"/>
  <c r="C6" i="6"/>
  <c r="C7" i="6"/>
  <c r="C8" i="6"/>
  <c r="C9" i="6"/>
  <c r="D4" i="6"/>
  <c r="D5" i="6"/>
  <c r="D3" i="6"/>
  <c r="C4" i="6"/>
  <c r="C5" i="6"/>
  <c r="C3" i="6"/>
  <c r="E18" i="9"/>
  <c r="E17" i="9"/>
  <c r="E16" i="9"/>
  <c r="E15" i="9"/>
  <c r="B7" i="7"/>
  <c r="M3" i="5"/>
  <c r="F5" i="10"/>
  <c r="F6" i="10"/>
  <c r="F7" i="10"/>
  <c r="F8" i="10"/>
  <c r="F9" i="10"/>
  <c r="F10" i="10"/>
  <c r="F11" i="10"/>
  <c r="F12" i="10"/>
  <c r="F13" i="10"/>
  <c r="F14" i="10"/>
  <c r="G6" i="8"/>
  <c r="G7" i="8"/>
  <c r="G8" i="8"/>
  <c r="G5" i="8"/>
  <c r="B38" i="8"/>
  <c r="B35" i="8"/>
  <c r="C32" i="8"/>
  <c r="C29" i="8"/>
  <c r="C26" i="8"/>
  <c r="B23" i="8"/>
  <c r="C20" i="8"/>
  <c r="C17" i="8"/>
  <c r="C14" i="8"/>
  <c r="B7" i="8"/>
  <c r="B4" i="8"/>
  <c r="E14" i="7"/>
  <c r="B21" i="7"/>
  <c r="B14" i="7"/>
  <c r="E7" i="7"/>
  <c r="V18" i="5"/>
  <c r="V19" i="5"/>
  <c r="V17" i="5"/>
  <c r="V12" i="5"/>
  <c r="V13" i="5"/>
  <c r="V11" i="5"/>
  <c r="V7" i="5"/>
  <c r="U7" i="5"/>
  <c r="U6" i="5"/>
  <c r="O34" i="5"/>
  <c r="O35" i="5"/>
  <c r="O33" i="5"/>
  <c r="O29" i="5"/>
  <c r="O28" i="5"/>
  <c r="O27" i="5"/>
  <c r="K34" i="5"/>
  <c r="K35" i="5"/>
  <c r="J3" i="5"/>
  <c r="K28" i="5"/>
  <c r="K29" i="5"/>
  <c r="F33" i="5"/>
  <c r="F27" i="5"/>
  <c r="F34" i="5"/>
  <c r="F35" i="5"/>
  <c r="F28" i="5"/>
  <c r="F29" i="5"/>
  <c r="O4" i="5"/>
  <c r="O5" i="5"/>
  <c r="O6" i="5"/>
  <c r="O7" i="5"/>
  <c r="O8" i="5"/>
  <c r="O9" i="5"/>
  <c r="O10" i="5"/>
  <c r="O11" i="5"/>
  <c r="O12" i="5"/>
  <c r="O13" i="5"/>
  <c r="O14" i="5"/>
  <c r="O15" i="5"/>
  <c r="O16" i="5"/>
  <c r="O17" i="5"/>
  <c r="O18" i="5"/>
  <c r="O19" i="5"/>
  <c r="O20" i="5"/>
  <c r="O21" i="5"/>
  <c r="O22" i="5"/>
  <c r="O3" i="5"/>
  <c r="N4" i="5"/>
  <c r="N5" i="5"/>
  <c r="N6" i="5"/>
  <c r="N7" i="5"/>
  <c r="N8" i="5"/>
  <c r="N9" i="5"/>
  <c r="N10" i="5"/>
  <c r="N11" i="5"/>
  <c r="N12" i="5"/>
  <c r="N13" i="5"/>
  <c r="N14" i="5"/>
  <c r="N15" i="5"/>
  <c r="N16" i="5"/>
  <c r="N17" i="5"/>
  <c r="N18" i="5"/>
  <c r="N19" i="5"/>
  <c r="N20" i="5"/>
  <c r="N21" i="5"/>
  <c r="N22" i="5"/>
  <c r="N3" i="5"/>
  <c r="M4" i="5"/>
  <c r="M5" i="5"/>
  <c r="M6" i="5"/>
  <c r="M7" i="5"/>
  <c r="M8" i="5"/>
  <c r="M9" i="5"/>
  <c r="M10" i="5"/>
  <c r="M11" i="5"/>
  <c r="M12" i="5"/>
  <c r="M13" i="5"/>
  <c r="M14" i="5"/>
  <c r="M15" i="5"/>
  <c r="M16" i="5"/>
  <c r="M17" i="5"/>
  <c r="M18" i="5"/>
  <c r="M19" i="5"/>
  <c r="M20" i="5"/>
  <c r="M21" i="5"/>
  <c r="M22" i="5"/>
  <c r="K4" i="5"/>
  <c r="K6" i="5"/>
  <c r="K7" i="5"/>
  <c r="K8" i="5"/>
  <c r="K9" i="5"/>
  <c r="K10" i="5"/>
  <c r="K11" i="5"/>
  <c r="K12" i="5"/>
  <c r="K13" i="5"/>
  <c r="K14" i="5"/>
  <c r="K15" i="5"/>
  <c r="K16" i="5"/>
  <c r="K17" i="5"/>
  <c r="K18" i="5"/>
  <c r="K19" i="5"/>
  <c r="K20" i="5"/>
  <c r="K21" i="5"/>
  <c r="K22" i="5"/>
  <c r="L4" i="5"/>
  <c r="L5" i="5"/>
  <c r="L6" i="5"/>
  <c r="L7" i="5"/>
  <c r="L8" i="5"/>
  <c r="L9" i="5"/>
  <c r="L10" i="5"/>
  <c r="L11" i="5"/>
  <c r="L12" i="5"/>
  <c r="L13" i="5"/>
  <c r="L14" i="5"/>
  <c r="L15" i="5"/>
  <c r="L16" i="5"/>
  <c r="L17" i="5"/>
  <c r="L18" i="5"/>
  <c r="L19" i="5"/>
  <c r="L20" i="5"/>
  <c r="L21" i="5"/>
  <c r="L22" i="5"/>
  <c r="L3" i="5"/>
  <c r="K3" i="5"/>
  <c r="J4" i="5"/>
  <c r="J5" i="5"/>
  <c r="J6" i="5"/>
  <c r="J7" i="5"/>
  <c r="J8" i="5"/>
  <c r="J9" i="5"/>
  <c r="J10" i="5"/>
  <c r="J11" i="5"/>
  <c r="J12" i="5"/>
  <c r="J13" i="5"/>
  <c r="J14" i="5"/>
  <c r="J15" i="5"/>
  <c r="J16" i="5"/>
  <c r="J17" i="5"/>
  <c r="J18" i="5"/>
  <c r="J19" i="5"/>
  <c r="J20" i="5"/>
  <c r="J21" i="5"/>
  <c r="J22" i="5"/>
  <c r="I4" i="5"/>
  <c r="I5" i="5"/>
  <c r="I6" i="5"/>
  <c r="I7" i="5"/>
  <c r="I8" i="5"/>
  <c r="I9" i="5"/>
  <c r="I10" i="5"/>
  <c r="I11" i="5"/>
  <c r="I12" i="5"/>
  <c r="I13" i="5"/>
  <c r="I14" i="5"/>
  <c r="I15" i="5"/>
  <c r="I16" i="5"/>
  <c r="I17" i="5"/>
  <c r="I18" i="5"/>
  <c r="I19" i="5"/>
  <c r="I20" i="5"/>
  <c r="I21" i="5"/>
  <c r="I22" i="5"/>
  <c r="I3" i="5"/>
  <c r="H4" i="5"/>
  <c r="H5" i="5"/>
  <c r="H6" i="5"/>
  <c r="H7" i="5"/>
  <c r="H8" i="5"/>
  <c r="H9" i="5"/>
  <c r="H10" i="5"/>
  <c r="H11" i="5"/>
  <c r="H12" i="5"/>
  <c r="H13" i="5"/>
  <c r="H14" i="5"/>
  <c r="H15" i="5"/>
  <c r="H16" i="5"/>
  <c r="H17" i="5"/>
  <c r="H18" i="5"/>
  <c r="H19" i="5"/>
  <c r="H20" i="5"/>
  <c r="H21" i="5"/>
  <c r="H22" i="5"/>
  <c r="H3" i="5"/>
  <c r="G4" i="3"/>
  <c r="G5" i="3"/>
  <c r="G6" i="3"/>
  <c r="G7" i="3"/>
  <c r="G8" i="3"/>
  <c r="G9" i="3"/>
  <c r="G10" i="3"/>
  <c r="G11" i="3"/>
  <c r="G12" i="3"/>
  <c r="G13" i="3"/>
  <c r="G14" i="3"/>
  <c r="G15" i="3"/>
  <c r="G16" i="3"/>
  <c r="G17" i="3"/>
  <c r="G18" i="3"/>
  <c r="G19" i="3"/>
  <c r="G20" i="3"/>
  <c r="G21" i="3"/>
  <c r="G22" i="3"/>
  <c r="E4" i="3"/>
  <c r="E5" i="3"/>
  <c r="E6" i="3"/>
  <c r="E7" i="3"/>
  <c r="E8" i="3"/>
  <c r="E9" i="3"/>
  <c r="E10" i="3"/>
  <c r="E11" i="3"/>
  <c r="E12" i="3"/>
  <c r="E13" i="3"/>
  <c r="E14" i="3"/>
  <c r="E15" i="3"/>
  <c r="E16" i="3"/>
  <c r="E17" i="3"/>
  <c r="E18" i="3"/>
  <c r="E19" i="3"/>
  <c r="E20" i="3"/>
  <c r="E21" i="3"/>
  <c r="E22" i="3"/>
  <c r="C13" i="3"/>
  <c r="C22" i="3"/>
  <c r="D22" i="3"/>
  <c r="F22" i="3"/>
  <c r="C21" i="3"/>
  <c r="D21" i="3"/>
  <c r="F21" i="3"/>
  <c r="C20" i="3"/>
  <c r="D20" i="3"/>
  <c r="F20" i="3"/>
  <c r="C19" i="3"/>
  <c r="D19" i="3"/>
  <c r="F19" i="3"/>
  <c r="C18" i="3"/>
  <c r="D18" i="3"/>
  <c r="F18" i="3"/>
  <c r="C17" i="3"/>
  <c r="D17" i="3"/>
  <c r="F17" i="3"/>
  <c r="C16" i="3"/>
  <c r="D16" i="3"/>
  <c r="F16" i="3"/>
  <c r="C15" i="3"/>
  <c r="D15" i="3"/>
  <c r="F15" i="3"/>
  <c r="C14" i="3"/>
  <c r="D14" i="3"/>
  <c r="F14" i="3"/>
  <c r="D13" i="3"/>
  <c r="F13" i="3"/>
  <c r="F12" i="3"/>
  <c r="F4" i="3"/>
  <c r="F5" i="3"/>
  <c r="F6" i="3"/>
  <c r="F7" i="3"/>
  <c r="F8" i="3"/>
  <c r="F9" i="3"/>
  <c r="F10" i="3"/>
  <c r="F11" i="3"/>
  <c r="D4" i="3"/>
  <c r="D5" i="3"/>
  <c r="D6" i="3"/>
  <c r="D7" i="3"/>
  <c r="D8" i="3"/>
  <c r="D9" i="3"/>
  <c r="D10" i="3"/>
  <c r="D11" i="3"/>
  <c r="D12" i="3"/>
  <c r="C4" i="3"/>
  <c r="C5" i="3"/>
  <c r="C6" i="3"/>
  <c r="C7" i="3"/>
  <c r="C8" i="3"/>
  <c r="C9" i="3"/>
  <c r="C10" i="3"/>
  <c r="C11" i="3"/>
  <c r="C12" i="3"/>
  <c r="F3" i="3"/>
  <c r="D3" i="3"/>
  <c r="C3" i="3"/>
  <c r="E3" i="3" s="1"/>
  <c r="G3" i="3" s="1"/>
  <c r="C4" i="1"/>
  <c r="E4" i="1" s="1"/>
  <c r="G4" i="1" s="1"/>
  <c r="D4" i="1"/>
  <c r="F4" i="1"/>
  <c r="C5" i="1"/>
  <c r="D5" i="1"/>
  <c r="E5" i="1" s="1"/>
  <c r="G5" i="1" s="1"/>
  <c r="F5" i="1"/>
  <c r="C6" i="1"/>
  <c r="D6" i="1"/>
  <c r="E6" i="1" s="1"/>
  <c r="G6" i="1" s="1"/>
  <c r="F6" i="1"/>
  <c r="C7" i="1"/>
  <c r="E7" i="1" s="1"/>
  <c r="D7" i="1"/>
  <c r="F7" i="1"/>
  <c r="C8" i="1"/>
  <c r="E8" i="1" s="1"/>
  <c r="G8" i="1" s="1"/>
  <c r="D8" i="1"/>
  <c r="F8" i="1"/>
  <c r="C9" i="1"/>
  <c r="E9" i="1" s="1"/>
  <c r="G9" i="1" s="1"/>
  <c r="D9" i="1"/>
  <c r="F9" i="1"/>
  <c r="C10" i="1"/>
  <c r="D10" i="1"/>
  <c r="F10" i="1"/>
  <c r="C11" i="1"/>
  <c r="D11" i="1"/>
  <c r="F11" i="1"/>
  <c r="C12" i="1"/>
  <c r="E12" i="1" s="1"/>
  <c r="D12" i="1"/>
  <c r="F12" i="1"/>
  <c r="C3" i="1"/>
  <c r="E3" i="1" s="1"/>
  <c r="G3" i="1" s="1"/>
  <c r="D3" i="1"/>
  <c r="F3" i="1"/>
  <c r="J39" i="6" l="1"/>
  <c r="J38" i="6"/>
  <c r="J37" i="6"/>
  <c r="J42" i="6"/>
  <c r="J35" i="6"/>
  <c r="J41" i="6"/>
  <c r="J40" i="6"/>
  <c r="J36" i="6"/>
  <c r="E11" i="1"/>
  <c r="G11" i="1" s="1"/>
  <c r="G12" i="1"/>
  <c r="G7" i="1"/>
  <c r="E10" i="1"/>
  <c r="G1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<sst xmlns="http://schemas.openxmlformats.org/spreadsheetml/2006/main" count="1251" uniqueCount="423">
  <si>
    <t>Priya</t>
  </si>
  <si>
    <t>Salary  Sheet</t>
  </si>
  <si>
    <t>Renuga</t>
  </si>
  <si>
    <t>Nandhini</t>
  </si>
  <si>
    <t>Abi</t>
  </si>
  <si>
    <t>Lavanya</t>
  </si>
  <si>
    <t>Divya</t>
  </si>
  <si>
    <t>Mini</t>
  </si>
  <si>
    <t>Employer Name</t>
  </si>
  <si>
    <t>Malar</t>
  </si>
  <si>
    <t>Sankari</t>
  </si>
  <si>
    <t>Dharshini</t>
  </si>
  <si>
    <t>DA 10%</t>
  </si>
  <si>
    <t>H.R.A. 15%</t>
  </si>
  <si>
    <t>Basic Salary</t>
  </si>
  <si>
    <t>PF 5%</t>
  </si>
  <si>
    <t>CTC Salary</t>
  </si>
  <si>
    <t>Take Home</t>
  </si>
  <si>
    <t>DA 15%</t>
  </si>
  <si>
    <t>H.R.A. 25%</t>
  </si>
  <si>
    <t>Rathi</t>
  </si>
  <si>
    <t>Janani</t>
  </si>
  <si>
    <t>Lalitha</t>
  </si>
  <si>
    <t>Pavithra</t>
  </si>
  <si>
    <t>Vanitha</t>
  </si>
  <si>
    <t>Devi</t>
  </si>
  <si>
    <t>Sathya</t>
  </si>
  <si>
    <t>Lekha</t>
  </si>
  <si>
    <t>Amesha</t>
  </si>
  <si>
    <t>Mohana Priya</t>
  </si>
  <si>
    <t>MATHEMATICAL FUNCTION</t>
  </si>
  <si>
    <t>S.NO</t>
  </si>
  <si>
    <t>NAME</t>
  </si>
  <si>
    <t>TAMIL</t>
  </si>
  <si>
    <t>ENGLISH</t>
  </si>
  <si>
    <t>MATHS</t>
  </si>
  <si>
    <t>SCIENCE</t>
  </si>
  <si>
    <t xml:space="preserve">SOCIAL </t>
  </si>
  <si>
    <t>TOTAL</t>
  </si>
  <si>
    <t>AVERAGE</t>
  </si>
  <si>
    <t>MEDIAN</t>
  </si>
  <si>
    <t>MODE</t>
  </si>
  <si>
    <t>COUNT</t>
  </si>
  <si>
    <t>PERCENTAGE</t>
  </si>
  <si>
    <t>MIN</t>
  </si>
  <si>
    <t>MAX</t>
  </si>
  <si>
    <t>SUM FUNCTION</t>
  </si>
  <si>
    <t xml:space="preserve"> AVERAGE FUNCTION</t>
  </si>
  <si>
    <t>MEDIAN FUNCTION</t>
  </si>
  <si>
    <t>MODE FUNCTION</t>
  </si>
  <si>
    <t>COUNT FUNCTION</t>
  </si>
  <si>
    <t xml:space="preserve"> PERCENTAGE FUNCTION</t>
  </si>
  <si>
    <t xml:space="preserve"> MIN FUNCTION</t>
  </si>
  <si>
    <t>MAX FUNCTION</t>
  </si>
  <si>
    <t>PMT</t>
  </si>
  <si>
    <t>Present value</t>
  </si>
  <si>
    <t>Rate</t>
  </si>
  <si>
    <t>nper</t>
  </si>
  <si>
    <t>FINANCIAL CALCULATION</t>
  </si>
  <si>
    <t>FV</t>
  </si>
  <si>
    <t>PV</t>
  </si>
  <si>
    <t>NPER</t>
  </si>
  <si>
    <t xml:space="preserve">PMT </t>
  </si>
  <si>
    <t xml:space="preserve">nper </t>
  </si>
  <si>
    <t>TIME AND DATE</t>
  </si>
  <si>
    <t>TODAY</t>
  </si>
  <si>
    <t>NOW</t>
  </si>
  <si>
    <t>DATE</t>
  </si>
  <si>
    <t>DAY</t>
  </si>
  <si>
    <t>MONTH</t>
  </si>
  <si>
    <t>YEAR</t>
  </si>
  <si>
    <t>TIME</t>
  </si>
  <si>
    <t>HOUR</t>
  </si>
  <si>
    <t>MINUTE</t>
  </si>
  <si>
    <t>SECONDS</t>
  </si>
  <si>
    <t>DATE VALUE</t>
  </si>
  <si>
    <t>TIME VALUE</t>
  </si>
  <si>
    <t>WEEKDAYS</t>
  </si>
  <si>
    <t>Sunday is the first day</t>
  </si>
  <si>
    <t>EXCEL COUNT, COUNTBLANK, COUNTIF &amp; COUNTIFS PRACTICE</t>
  </si>
  <si>
    <t>DEPARTMENT</t>
  </si>
  <si>
    <t>MARKS</t>
  </si>
  <si>
    <t>ATTENDANCE</t>
  </si>
  <si>
    <t>STATUS</t>
  </si>
  <si>
    <t>Aman</t>
  </si>
  <si>
    <t>Rohit</t>
  </si>
  <si>
    <t>Pooja</t>
  </si>
  <si>
    <t>Vikas</t>
  </si>
  <si>
    <t>Neha</t>
  </si>
  <si>
    <t>Simran</t>
  </si>
  <si>
    <t>Meena</t>
  </si>
  <si>
    <t>Karan</t>
  </si>
  <si>
    <t>Sales</t>
  </si>
  <si>
    <t>IT</t>
  </si>
  <si>
    <t>HR</t>
  </si>
  <si>
    <t>4 CONSITIONS / QUESTIONS</t>
  </si>
  <si>
    <t>2. COUNTBLANK</t>
  </si>
  <si>
    <t>3. COUNTIF</t>
  </si>
  <si>
    <t>1. COUNT</t>
  </si>
  <si>
    <t>4. COUNTIFS</t>
  </si>
  <si>
    <t>Pass</t>
  </si>
  <si>
    <t>Fail</t>
  </si>
  <si>
    <t>Pending</t>
  </si>
  <si>
    <t>How many numeric values are there in the Marks column?</t>
  </si>
  <si>
    <t>How many blank cells are there in the Mark column?</t>
  </si>
  <si>
    <t>How many employees belong to the Sales department?</t>
  </si>
  <si>
    <t>How many employees belong to the IT department and have marks greater than or equal to 80?</t>
  </si>
  <si>
    <t>COUNTIF</t>
  </si>
  <si>
    <t>EMPLOYEE ID</t>
  </si>
  <si>
    <t>EMPLOYEE NAME</t>
  </si>
  <si>
    <t>PERFORMANCE SCORE</t>
  </si>
  <si>
    <t>SALES TARGET</t>
  </si>
  <si>
    <t>PROJECT TERGAT</t>
  </si>
  <si>
    <t>E001</t>
  </si>
  <si>
    <t>E002</t>
  </si>
  <si>
    <t>E003</t>
  </si>
  <si>
    <t>E004</t>
  </si>
  <si>
    <t>E005</t>
  </si>
  <si>
    <t>E006</t>
  </si>
  <si>
    <t>E007</t>
  </si>
  <si>
    <t>E008</t>
  </si>
  <si>
    <t>E009</t>
  </si>
  <si>
    <t>E010</t>
  </si>
  <si>
    <t>Achieved</t>
  </si>
  <si>
    <t>Not Achieved</t>
  </si>
  <si>
    <t>RESULT</t>
  </si>
  <si>
    <t>DATEDIF</t>
  </si>
  <si>
    <t>IF CONDITION</t>
  </si>
  <si>
    <t>A(NAME)</t>
  </si>
  <si>
    <t>B(SALES)</t>
  </si>
  <si>
    <t>GOOD / BAD</t>
  </si>
  <si>
    <t>DISCOUNT</t>
  </si>
  <si>
    <t>Arun</t>
  </si>
  <si>
    <t>Nisha</t>
  </si>
  <si>
    <t>Pavi</t>
  </si>
  <si>
    <t>To find sales are good or bad</t>
  </si>
  <si>
    <t>Discount 10%</t>
  </si>
  <si>
    <t>Riya</t>
  </si>
  <si>
    <t>IF SUBRACTION</t>
  </si>
  <si>
    <t>IFS CONDITION</t>
  </si>
  <si>
    <t>SOCIAL</t>
  </si>
  <si>
    <t>G TAMIL</t>
  </si>
  <si>
    <t>G ENGLISH</t>
  </si>
  <si>
    <t>G MATHS</t>
  </si>
  <si>
    <t>G SCIENCE</t>
  </si>
  <si>
    <t>G SOCIAL</t>
  </si>
  <si>
    <t>FORMULA FOR EXCEL BEGINNERS</t>
  </si>
  <si>
    <t>MAX FORMULA</t>
  </si>
  <si>
    <t>AVERAGE FORMUL</t>
  </si>
  <si>
    <t>COUNT FORMULA</t>
  </si>
  <si>
    <t>MIN FORMULA</t>
  </si>
  <si>
    <t>SUMIF</t>
  </si>
  <si>
    <t>AVERAGEIF</t>
  </si>
  <si>
    <t>SUMIF VS COUNTIF VS AVERAGEIF</t>
  </si>
  <si>
    <t>Date</t>
  </si>
  <si>
    <t>Region</t>
  </si>
  <si>
    <t>Product</t>
  </si>
  <si>
    <t>Salesperson</t>
  </si>
  <si>
    <t>North</t>
  </si>
  <si>
    <t>South</t>
  </si>
  <si>
    <t>West</t>
  </si>
  <si>
    <t>East</t>
  </si>
  <si>
    <t>Laptop</t>
  </si>
  <si>
    <t>Mobile</t>
  </si>
  <si>
    <t>Tablet</t>
  </si>
  <si>
    <t>SUMIFS</t>
  </si>
  <si>
    <t>FORMULA</t>
  </si>
  <si>
    <t>QUESTION</t>
  </si>
  <si>
    <t>Total sales for Dharshini in South region</t>
  </si>
  <si>
    <t>RUSULT</t>
  </si>
  <si>
    <t>ITEMS</t>
  </si>
  <si>
    <t>PS/2020</t>
  </si>
  <si>
    <t>PS/2021</t>
  </si>
  <si>
    <t>PS/2022</t>
  </si>
  <si>
    <t>GOOD/BAD</t>
  </si>
  <si>
    <t xml:space="preserve">Apple </t>
  </si>
  <si>
    <t>Banana</t>
  </si>
  <si>
    <t>Mango</t>
  </si>
  <si>
    <t>Orange</t>
  </si>
  <si>
    <t>Grapes</t>
  </si>
  <si>
    <t>Jackfruit</t>
  </si>
  <si>
    <t>Pomogranet</t>
  </si>
  <si>
    <t>Pianapple</t>
  </si>
  <si>
    <t>Kiwi</t>
  </si>
  <si>
    <t>Ice Apple</t>
  </si>
  <si>
    <t>PASS/FAIL</t>
  </si>
  <si>
    <t>IF AND CONDITION</t>
  </si>
  <si>
    <t>IF OR CONDITION</t>
  </si>
  <si>
    <t>RANK</t>
  </si>
  <si>
    <t>IF RANK CONDITION</t>
  </si>
  <si>
    <t>RM NAME</t>
  </si>
  <si>
    <t>TOWN</t>
  </si>
  <si>
    <t>Rajesh Sharma</t>
  </si>
  <si>
    <t>Vikram Malhotra</t>
  </si>
  <si>
    <t>Anita Roy</t>
  </si>
  <si>
    <t>Deepak Verma</t>
  </si>
  <si>
    <t>Delhi</t>
  </si>
  <si>
    <t>Mumbai</t>
  </si>
  <si>
    <t>Bangalore</t>
  </si>
  <si>
    <t>Pune</t>
  </si>
  <si>
    <t>Ahmedabad</t>
  </si>
  <si>
    <t>Hyderabad</t>
  </si>
  <si>
    <t>Chennai</t>
  </si>
  <si>
    <t>Kolkata</t>
  </si>
  <si>
    <t>Lucknow</t>
  </si>
  <si>
    <t>Jaipur</t>
  </si>
  <si>
    <t>TOTAL SALES</t>
  </si>
  <si>
    <t>SUMIF FORMULA</t>
  </si>
  <si>
    <t>SUM +  FILTER FORMULA</t>
  </si>
  <si>
    <t>SUMIF VS SUM+FILTER FORMULA</t>
  </si>
  <si>
    <t xml:space="preserve">EMPLOYEE </t>
  </si>
  <si>
    <t>MONTH TO ADD</t>
  </si>
  <si>
    <t>DATE FORMULA</t>
  </si>
  <si>
    <t>EDATE FORMULA</t>
  </si>
  <si>
    <t>DATE VS EDATE FORMULA</t>
  </si>
  <si>
    <t>Year</t>
  </si>
  <si>
    <t>Month</t>
  </si>
  <si>
    <t>SALARY</t>
  </si>
  <si>
    <t>VLOOKUP</t>
  </si>
  <si>
    <t>Finance</t>
  </si>
  <si>
    <t>Operations</t>
  </si>
  <si>
    <t>VLOOKUP Search</t>
  </si>
  <si>
    <t>Enter Employee ID</t>
  </si>
  <si>
    <t>Name</t>
  </si>
  <si>
    <t>Department</t>
  </si>
  <si>
    <t>Salary</t>
  </si>
  <si>
    <t>RAW DATA</t>
  </si>
  <si>
    <t xml:space="preserve">LAST NAME </t>
  </si>
  <si>
    <t>FIRST NAME</t>
  </si>
  <si>
    <t>Doe</t>
  </si>
  <si>
    <t>John</t>
  </si>
  <si>
    <t>Cine</t>
  </si>
  <si>
    <t>Andy</t>
  </si>
  <si>
    <t>Smith</t>
  </si>
  <si>
    <t>Pan</t>
  </si>
  <si>
    <t>Favre</t>
  </si>
  <si>
    <t>Elway</t>
  </si>
  <si>
    <t>Manning</t>
  </si>
  <si>
    <t>Vick</t>
  </si>
  <si>
    <t>Woods</t>
  </si>
  <si>
    <t>Jordan</t>
  </si>
  <si>
    <t>Stark</t>
  </si>
  <si>
    <t>Williams</t>
  </si>
  <si>
    <t>Pitt</t>
  </si>
  <si>
    <t>Peter</t>
  </si>
  <si>
    <t>Bret</t>
  </si>
  <si>
    <t>Eli</t>
  </si>
  <si>
    <t>Micheal</t>
  </si>
  <si>
    <t>Tiger</t>
  </si>
  <si>
    <t>Tony</t>
  </si>
  <si>
    <t>Prince</t>
  </si>
  <si>
    <t>Brad</t>
  </si>
  <si>
    <t>PAY</t>
  </si>
  <si>
    <t>$84,289</t>
  </si>
  <si>
    <t>$1,37,670</t>
  </si>
  <si>
    <t>$1,90,024</t>
  </si>
  <si>
    <t>$1,22,604</t>
  </si>
  <si>
    <t>$1,11,709</t>
  </si>
  <si>
    <t>$85,931</t>
  </si>
  <si>
    <t>$1,68,114</t>
  </si>
  <si>
    <t>$89,627</t>
  </si>
  <si>
    <t>$1,49,946</t>
  </si>
  <si>
    <t>$1,45,893</t>
  </si>
  <si>
    <t>$71,478</t>
  </si>
  <si>
    <t>$1,31,505</t>
  </si>
  <si>
    <t>$64,757</t>
  </si>
  <si>
    <t>PAY REPORT</t>
  </si>
  <si>
    <t xml:space="preserve">FIRST NAME </t>
  </si>
  <si>
    <t>LAST NAME</t>
  </si>
  <si>
    <t>RAW DATA EXTRACT #1</t>
  </si>
  <si>
    <t>RAW DATA EXTRACT #2</t>
  </si>
  <si>
    <t>CITY</t>
  </si>
  <si>
    <t>STATE</t>
  </si>
  <si>
    <t>Columbus</t>
  </si>
  <si>
    <t>Chicago</t>
  </si>
  <si>
    <t>Tampa Bay</t>
  </si>
  <si>
    <t>Austin</t>
  </si>
  <si>
    <t>Ohio</t>
  </si>
  <si>
    <t>Illnosi</t>
  </si>
  <si>
    <t>Florida</t>
  </si>
  <si>
    <t>Texas</t>
  </si>
  <si>
    <t>PAY BAND TABLE</t>
  </si>
  <si>
    <t xml:space="preserve">PAY MIN </t>
  </si>
  <si>
    <t>PAY BAND</t>
  </si>
  <si>
    <t>Level A</t>
  </si>
  <si>
    <t>Level B</t>
  </si>
  <si>
    <t>Level C</t>
  </si>
  <si>
    <t>Level E</t>
  </si>
  <si>
    <t>Level D</t>
  </si>
  <si>
    <t>Employee Name</t>
  </si>
  <si>
    <t>Location</t>
  </si>
  <si>
    <t>LOCATION</t>
  </si>
  <si>
    <t>ITES</t>
  </si>
  <si>
    <t>JOB ROLE</t>
  </si>
  <si>
    <t>Process Executive</t>
  </si>
  <si>
    <t>HR Executive</t>
  </si>
  <si>
    <t>Accounts Executive</t>
  </si>
  <si>
    <t>Customer Support</t>
  </si>
  <si>
    <t>MIS Executive</t>
  </si>
  <si>
    <t>Data Entey</t>
  </si>
  <si>
    <t>Support Engineer</t>
  </si>
  <si>
    <t>Recruiter</t>
  </si>
  <si>
    <t>Finance Associate</t>
  </si>
  <si>
    <t>Email Support</t>
  </si>
  <si>
    <t xml:space="preserve">Chennai </t>
  </si>
  <si>
    <t>Bengaluru</t>
  </si>
  <si>
    <t>Coimbatore</t>
  </si>
  <si>
    <t>Active</t>
  </si>
  <si>
    <t>Inactive</t>
  </si>
  <si>
    <t>PRACTICAL LOOKUP</t>
  </si>
  <si>
    <t>EMP104</t>
  </si>
  <si>
    <t>EMP107</t>
  </si>
  <si>
    <t>EMP105</t>
  </si>
  <si>
    <t>EMP110</t>
  </si>
  <si>
    <t>EMP102</t>
  </si>
  <si>
    <t>Job Role</t>
  </si>
  <si>
    <t>EMP101</t>
  </si>
  <si>
    <t>EMP103</t>
  </si>
  <si>
    <t>EMP106</t>
  </si>
  <si>
    <t>EMP108</t>
  </si>
  <si>
    <t>EMP109</t>
  </si>
  <si>
    <t xml:space="preserve">XLOOKUP Practical </t>
  </si>
  <si>
    <t>EMP001</t>
  </si>
  <si>
    <t>EMP002</t>
  </si>
  <si>
    <t>EMP003</t>
  </si>
  <si>
    <t>EMP004</t>
  </si>
  <si>
    <t>EMP005</t>
  </si>
  <si>
    <t>MONTHLY SALARY</t>
  </si>
  <si>
    <t>Salea</t>
  </si>
  <si>
    <t>Support</t>
  </si>
  <si>
    <t>HLOOKUP PRACTICAL EXCEL SHEET</t>
  </si>
  <si>
    <t>LOOKUP EMPLOYEE ID</t>
  </si>
  <si>
    <t>PRODUCT</t>
  </si>
  <si>
    <t>P001</t>
  </si>
  <si>
    <t>P002</t>
  </si>
  <si>
    <t>P003</t>
  </si>
  <si>
    <t>P004</t>
  </si>
  <si>
    <t>P005</t>
  </si>
  <si>
    <t>PRODUCT NAME</t>
  </si>
  <si>
    <t>CATEGORY</t>
  </si>
  <si>
    <t>PRICE</t>
  </si>
  <si>
    <t>Keuboard</t>
  </si>
  <si>
    <t>Mouse</t>
  </si>
  <si>
    <t>Headset</t>
  </si>
  <si>
    <t>Monitor</t>
  </si>
  <si>
    <t>Webcam</t>
  </si>
  <si>
    <t>Audio</t>
  </si>
  <si>
    <t>Display</t>
  </si>
  <si>
    <t>Camera</t>
  </si>
  <si>
    <t>LOOKUP PRODUCT ID</t>
  </si>
  <si>
    <t>DESIGNATION</t>
  </si>
  <si>
    <t>JOINING DATE</t>
  </si>
  <si>
    <t>EMPLOYEE MASTER DATA</t>
  </si>
  <si>
    <t>VLOOKUP FORMULA</t>
  </si>
  <si>
    <t>XLOOKUP FORMULA</t>
  </si>
  <si>
    <t>Designation</t>
  </si>
  <si>
    <t>HLOOKUP FORMULA</t>
  </si>
  <si>
    <t>NO.</t>
  </si>
  <si>
    <t>RATE</t>
  </si>
  <si>
    <t>2kg</t>
  </si>
  <si>
    <t>5kg</t>
  </si>
  <si>
    <t>10kg</t>
  </si>
  <si>
    <t>Wheat</t>
  </si>
  <si>
    <t>Oil</t>
  </si>
  <si>
    <t>Sugar</t>
  </si>
  <si>
    <t>Rice</t>
  </si>
  <si>
    <t>Salt</t>
  </si>
  <si>
    <t>Corn</t>
  </si>
  <si>
    <t>Oats</t>
  </si>
  <si>
    <t>Amaranth</t>
  </si>
  <si>
    <t>Barley</t>
  </si>
  <si>
    <t>Bulgur</t>
  </si>
  <si>
    <t>INDEX FUNCTION</t>
  </si>
  <si>
    <t>Rice (Row)</t>
  </si>
  <si>
    <t>Rice (Row + Col)</t>
  </si>
  <si>
    <t>MATCH FUNCTION</t>
  </si>
  <si>
    <t>Find Rice row number</t>
  </si>
  <si>
    <t>Find 10kg  column</t>
  </si>
  <si>
    <t>INDEX + MATCH FUNCTION</t>
  </si>
  <si>
    <t>Weight</t>
  </si>
  <si>
    <t>Result</t>
  </si>
  <si>
    <t>PRACTICE</t>
  </si>
  <si>
    <t>Find Wheat 5kg price</t>
  </si>
  <si>
    <t>Find Barley 2kg price</t>
  </si>
  <si>
    <t>Find Oats 10kg price</t>
  </si>
  <si>
    <t>AN EMPLOYEE WILL BE ELIGBLE FOR THE BOUNS IF THERE PERFORMANCE SCORE IS 80 OR ABOVE AND THEY HAVE ACHIVED EITHER THE SALES TARGET OR THE PROJECT TRAGET. OTHERWISE, THEY WILL BE NOT ELIGBLE.</t>
  </si>
  <si>
    <t>SALES</t>
  </si>
  <si>
    <t>Employee</t>
  </si>
  <si>
    <t>Quantity</t>
  </si>
  <si>
    <t>Unit Price</t>
  </si>
  <si>
    <t>Sales Amount</t>
  </si>
  <si>
    <t>Asha</t>
  </si>
  <si>
    <t>Ravi</t>
  </si>
  <si>
    <t>Keyboard</t>
  </si>
  <si>
    <t>Kiran</t>
  </si>
  <si>
    <t>Technical Support</t>
  </si>
  <si>
    <t>Grand Total</t>
  </si>
  <si>
    <t>Sum of Sales Amount</t>
  </si>
  <si>
    <t>Sum of Unit Price</t>
  </si>
  <si>
    <t>Total Sum of Unit Price</t>
  </si>
  <si>
    <t>Total Sum of Sales Amount</t>
  </si>
  <si>
    <t>DATA VALIDATION AND FILTER</t>
  </si>
  <si>
    <t>Row Labels</t>
  </si>
  <si>
    <t>SALES DATA</t>
  </si>
  <si>
    <t>SHOW TOTAL SALES AMOUNT BY DEPARTMENT</t>
  </si>
  <si>
    <t>SHOW TOTAL SALES AMOUNT BY PRODUCT</t>
  </si>
  <si>
    <t>Sum of Quantity</t>
  </si>
  <si>
    <t xml:space="preserve">SHOW TOTAL QUANTITY BY LOCATION </t>
  </si>
  <si>
    <t>Column Labels</t>
  </si>
  <si>
    <t xml:space="preserve">SALES BY DEPARTMENT </t>
  </si>
  <si>
    <t xml:space="preserve">Sales </t>
  </si>
  <si>
    <t>SALES BY PRODUCT</t>
  </si>
  <si>
    <t>QUANTITY BY LOCATION</t>
  </si>
  <si>
    <t>TOTAL QUANTITY</t>
  </si>
  <si>
    <t>PIVOT TABLE SUMMARY PRACTICE</t>
  </si>
  <si>
    <t>Jan</t>
  </si>
  <si>
    <t>Feb</t>
  </si>
  <si>
    <t>Mar</t>
  </si>
  <si>
    <t>SHOW MONTHLY SALES AMOUNT USING THE SATE FIELD</t>
  </si>
  <si>
    <t>CREAT A PIVOT TABLE WITH DEPARTMENT IN ROW AND PRODUCT IN COLUMNS</t>
  </si>
  <si>
    <t>SHOW SALES AMOUNT BY EMPLOYEE</t>
  </si>
  <si>
    <t>DASHBOARD</t>
  </si>
  <si>
    <t>POVIT TABLE AND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</si>
</sst>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 &quot;₹&quot;\ * #,##0.00_ ;_ &quot;₹&quot;\ * \-#,##0.00_ ;_ &quot;₹&quot;\ * &quot;-&quot;??_ ;_ @_ "/>
    <numFmt numFmtId="164" formatCode="&quot;₹&quot;\ #,##0.00"/>
    <numFmt numFmtId="165" formatCode="_-[$$-409]* #,##0.00_ ;_-[$$-409]* \-#,##0.00\ ;_-[$$-409]* &quot;-&quot;??_ ;_-@_ "/>
    <numFmt numFmtId="166" formatCode="dd/mmm/yyyy"/>
    <numFmt numFmtId="167" formatCode="&quot;₹&quot;#,##0"/>
  </numFmts>
  <fonts count="16">
    <font>
      <sz val="11"/>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sz val="11"/>
      <color theme="1"/>
      <name val="Aptos Narrow"/>
      <family val="2"/>
      <scheme val="minor"/>
    </font>
    <font>
      <sz val="12"/>
      <color theme="1"/>
      <name val="Aptos Narrow"/>
      <family val="2"/>
      <scheme val="minor"/>
    </font>
    <font>
      <sz val="16"/>
      <color theme="1"/>
      <name val="Aptos Narrow"/>
      <family val="2"/>
      <scheme val="minor"/>
    </font>
    <font>
      <b/>
      <sz val="14"/>
      <color theme="1"/>
      <name val="Aptos Narrow"/>
      <family val="2"/>
      <scheme val="minor"/>
    </font>
    <font>
      <b/>
      <sz val="18"/>
      <color theme="1"/>
      <name val="Aptos Narrow"/>
      <family val="2"/>
      <scheme val="minor"/>
    </font>
    <font>
      <b/>
      <sz val="20"/>
      <color theme="1"/>
      <name val="Aptos Narrow"/>
      <family val="2"/>
      <scheme val="minor"/>
    </font>
    <font>
      <sz val="8"/>
      <name val="Aptos Narrow"/>
      <family val="2"/>
      <scheme val="minor"/>
    </font>
    <font>
      <sz val="11"/>
      <color indexed="8"/>
      <name val="Calibri"/>
      <charset val="134"/>
    </font>
    <font>
      <b/>
      <sz val="11"/>
      <color indexed="9"/>
      <name val="Calibri"/>
      <charset val="134"/>
    </font>
    <font>
      <sz val="11"/>
      <color indexed="8"/>
      <name val="Calibri"/>
      <family val="2"/>
    </font>
    <font>
      <b/>
      <sz val="11"/>
      <color indexed="9"/>
      <name val="Calibri"/>
      <family val="2"/>
    </font>
    <font>
      <b/>
      <sz val="24"/>
      <color theme="1"/>
      <name val="Aptos Narrow"/>
      <family val="2"/>
      <scheme val="minor"/>
    </font>
  </fonts>
  <fills count="18">
    <fill>
      <patternFill patternType="none"/>
    </fill>
    <fill>
      <patternFill patternType="gray125"/>
    </fill>
    <fill>
      <patternFill patternType="solid">
        <fgColor theme="7"/>
        <bgColor indexed="64"/>
      </patternFill>
    </fill>
    <fill>
      <patternFill patternType="solid">
        <fgColor theme="5" tint="0.59999389629810485"/>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1F4E78"/>
        <bgColor indexed="64"/>
      </patternFill>
    </fill>
    <fill>
      <patternFill patternType="solid">
        <fgColor theme="8" tint="0.79998168889431442"/>
        <bgColor indexed="64"/>
      </patternFill>
    </fill>
    <fill>
      <patternFill patternType="solid">
        <fgColor theme="1"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9" fontId="4" fillId="0" borderId="0" applyFont="0" applyFill="0" applyBorder="0" applyAlignment="0" applyProtection="0"/>
  </cellStyleXfs>
  <cellXfs count="118">
    <xf numFmtId="0" fontId="0" fillId="0" borderId="0" xfId="0"/>
    <xf numFmtId="0" fontId="0" fillId="0" borderId="1" xfId="0" applyBorder="1"/>
    <xf numFmtId="3" fontId="0" fillId="0" borderId="1" xfId="0" applyNumberFormat="1" applyBorder="1" applyAlignment="1">
      <alignment horizontal="center" vertical="center"/>
    </xf>
    <xf numFmtId="3" fontId="0" fillId="0" borderId="1" xfId="0" applyNumberFormat="1" applyBorder="1"/>
    <xf numFmtId="3" fontId="0" fillId="0" borderId="1" xfId="0" applyNumberFormat="1" applyBorder="1" applyAlignment="1">
      <alignment horizontal="center"/>
    </xf>
    <xf numFmtId="0" fontId="2" fillId="3" borderId="1" xfId="0" applyFont="1" applyFill="1" applyBorder="1" applyAlignment="1">
      <alignment horizontal="center"/>
    </xf>
    <xf numFmtId="0" fontId="0" fillId="6" borderId="1" xfId="0" applyFill="1" applyBorder="1"/>
    <xf numFmtId="9" fontId="0" fillId="6" borderId="1" xfId="1" applyFont="1" applyFill="1" applyBorder="1"/>
    <xf numFmtId="0" fontId="0" fillId="3" borderId="1" xfId="0" applyFill="1" applyBorder="1"/>
    <xf numFmtId="9" fontId="0" fillId="0" borderId="1" xfId="0" applyNumberFormat="1" applyBorder="1"/>
    <xf numFmtId="8" fontId="0" fillId="0" borderId="1" xfId="0" applyNumberFormat="1" applyBorder="1"/>
    <xf numFmtId="164" fontId="0" fillId="0" borderId="1" xfId="0" applyNumberFormat="1" applyBorder="1"/>
    <xf numFmtId="14" fontId="0" fillId="0" borderId="1" xfId="0" applyNumberFormat="1" applyBorder="1"/>
    <xf numFmtId="22" fontId="0" fillId="0" borderId="1" xfId="0" applyNumberFormat="1" applyBorder="1"/>
    <xf numFmtId="18" fontId="0" fillId="0" borderId="1" xfId="0" applyNumberFormat="1" applyBorder="1"/>
    <xf numFmtId="21" fontId="0" fillId="0" borderId="1" xfId="0" applyNumberFormat="1" applyBorder="1"/>
    <xf numFmtId="0" fontId="1" fillId="7" borderId="1" xfId="0" applyFont="1" applyFill="1" applyBorder="1"/>
    <xf numFmtId="3" fontId="0" fillId="7" borderId="1" xfId="0" applyNumberFormat="1" applyFill="1" applyBorder="1" applyAlignment="1">
      <alignment horizontal="center" vertical="center"/>
    </xf>
    <xf numFmtId="0" fontId="0" fillId="7" borderId="1" xfId="0" applyFill="1" applyBorder="1"/>
    <xf numFmtId="3" fontId="0" fillId="7" borderId="1" xfId="0" applyNumberFormat="1" applyFill="1" applyBorder="1"/>
    <xf numFmtId="3" fontId="0" fillId="7" borderId="1" xfId="0" applyNumberFormat="1" applyFill="1" applyBorder="1" applyAlignment="1">
      <alignment horizontal="center"/>
    </xf>
    <xf numFmtId="0" fontId="5" fillId="7" borderId="1" xfId="0" applyFont="1" applyFill="1" applyBorder="1"/>
    <xf numFmtId="9" fontId="0" fillId="7" borderId="1" xfId="1" applyFont="1" applyFill="1" applyBorder="1"/>
    <xf numFmtId="0" fontId="1" fillId="0" borderId="1" xfId="0" applyFont="1" applyBorder="1"/>
    <xf numFmtId="0" fontId="1" fillId="8" borderId="1" xfId="0" applyFont="1" applyFill="1" applyBorder="1"/>
    <xf numFmtId="0" fontId="0" fillId="5" borderId="1" xfId="0" applyFill="1" applyBorder="1"/>
    <xf numFmtId="0" fontId="0" fillId="0" borderId="1" xfId="0" applyBorder="1" applyAlignment="1">
      <alignment horizontal="left"/>
    </xf>
    <xf numFmtId="0" fontId="0" fillId="0" borderId="0" xfId="0" applyAlignment="1">
      <alignment horizontal="left"/>
    </xf>
    <xf numFmtId="0" fontId="2" fillId="9" borderId="1" xfId="0" applyFont="1" applyFill="1" applyBorder="1"/>
    <xf numFmtId="0" fontId="2" fillId="9" borderId="1" xfId="0" applyFont="1" applyFill="1" applyBorder="1" applyAlignment="1">
      <alignment horizontal="left"/>
    </xf>
    <xf numFmtId="0" fontId="0" fillId="0" borderId="1" xfId="0" applyBorder="1" applyAlignment="1">
      <alignment wrapText="1"/>
    </xf>
    <xf numFmtId="0" fontId="0" fillId="0" borderId="4" xfId="0" applyBorder="1"/>
    <xf numFmtId="0" fontId="2" fillId="3" borderId="1" xfId="0" applyFont="1" applyFill="1" applyBorder="1"/>
    <xf numFmtId="0" fontId="2" fillId="3" borderId="4" xfId="0" applyFont="1" applyFill="1" applyBorder="1"/>
    <xf numFmtId="0" fontId="8" fillId="7" borderId="0" xfId="0" applyFont="1" applyFill="1"/>
    <xf numFmtId="15" fontId="0" fillId="0" borderId="1" xfId="0" applyNumberFormat="1" applyBorder="1"/>
    <xf numFmtId="164" fontId="0" fillId="0" borderId="0" xfId="0" applyNumberFormat="1"/>
    <xf numFmtId="44" fontId="0" fillId="0" borderId="1" xfId="0" applyNumberFormat="1" applyBorder="1"/>
    <xf numFmtId="0" fontId="7" fillId="8" borderId="1" xfId="0" applyFont="1" applyFill="1" applyBorder="1"/>
    <xf numFmtId="0" fontId="2" fillId="0" borderId="0" xfId="0" applyFont="1"/>
    <xf numFmtId="2" fontId="0" fillId="0" borderId="1" xfId="0" applyNumberFormat="1" applyBorder="1"/>
    <xf numFmtId="0" fontId="2" fillId="6" borderId="1" xfId="0" applyFont="1" applyFill="1" applyBorder="1"/>
    <xf numFmtId="0" fontId="1" fillId="5" borderId="1" xfId="0" applyFont="1" applyFill="1" applyBorder="1"/>
    <xf numFmtId="0" fontId="2" fillId="10" borderId="1" xfId="0" applyFont="1" applyFill="1" applyBorder="1"/>
    <xf numFmtId="0" fontId="2" fillId="12" borderId="1" xfId="0" applyFont="1" applyFill="1" applyBorder="1"/>
    <xf numFmtId="0" fontId="2" fillId="7" borderId="0" xfId="0" applyFont="1" applyFill="1"/>
    <xf numFmtId="3" fontId="0" fillId="7" borderId="0" xfId="0" applyNumberFormat="1" applyFill="1"/>
    <xf numFmtId="0" fontId="0" fillId="7" borderId="0" xfId="0" applyFill="1"/>
    <xf numFmtId="0" fontId="2" fillId="12" borderId="8" xfId="0" applyFont="1" applyFill="1" applyBorder="1"/>
    <xf numFmtId="165" fontId="0" fillId="0" borderId="1" xfId="0" applyNumberFormat="1" applyBorder="1" applyAlignment="1">
      <alignment horizontal="right"/>
    </xf>
    <xf numFmtId="0" fontId="2" fillId="14" borderId="1" xfId="0" applyFont="1" applyFill="1" applyBorder="1"/>
    <xf numFmtId="0" fontId="2" fillId="5" borderId="1" xfId="0" applyFont="1" applyFill="1" applyBorder="1"/>
    <xf numFmtId="0" fontId="11" fillId="0" borderId="0" xfId="0" applyFont="1"/>
    <xf numFmtId="0" fontId="12" fillId="15" borderId="1" xfId="0" applyFont="1" applyFill="1" applyBorder="1" applyAlignment="1">
      <alignment horizontal="center"/>
    </xf>
    <xf numFmtId="166" fontId="11" fillId="0" borderId="1" xfId="0" applyNumberFormat="1" applyFont="1" applyBorder="1"/>
    <xf numFmtId="0" fontId="11" fillId="0" borderId="1" xfId="0" applyFont="1" applyBorder="1"/>
    <xf numFmtId="167" fontId="11" fillId="0" borderId="1" xfId="0" applyNumberFormat="1" applyFont="1" applyBorder="1"/>
    <xf numFmtId="167" fontId="0" fillId="0" borderId="0" xfId="0" applyNumberFormat="1"/>
    <xf numFmtId="166" fontId="0" fillId="0" borderId="1" xfId="0" applyNumberFormat="1" applyBorder="1" applyAlignment="1">
      <alignment horizontal="left"/>
    </xf>
    <xf numFmtId="167" fontId="0" fillId="0" borderId="1" xfId="0" applyNumberFormat="1" applyBorder="1"/>
    <xf numFmtId="0" fontId="0" fillId="0" borderId="1" xfId="0" applyBorder="1" applyAlignment="1">
      <alignment horizontal="left" indent="1"/>
    </xf>
    <xf numFmtId="0" fontId="0" fillId="0" borderId="0" xfId="0" pivotButton="1"/>
    <xf numFmtId="0" fontId="14" fillId="15" borderId="1" xfId="0" applyFont="1" applyFill="1" applyBorder="1" applyAlignment="1">
      <alignment horizontal="center"/>
    </xf>
    <xf numFmtId="166" fontId="13" fillId="0" borderId="1" xfId="0" applyNumberFormat="1" applyFont="1" applyBorder="1"/>
    <xf numFmtId="0" fontId="13" fillId="0" borderId="1" xfId="0" applyFont="1" applyBorder="1"/>
    <xf numFmtId="167" fontId="13" fillId="0" borderId="1" xfId="0" applyNumberFormat="1" applyFont="1" applyBorder="1"/>
    <xf numFmtId="0" fontId="8" fillId="0" borderId="0" xfId="0" applyFont="1"/>
    <xf numFmtId="0" fontId="1" fillId="14" borderId="1" xfId="0" applyFont="1" applyFill="1" applyBorder="1"/>
    <xf numFmtId="0" fontId="5" fillId="0" borderId="1" xfId="0" applyFont="1" applyBorder="1" applyAlignment="1">
      <alignment horizontal="left"/>
    </xf>
    <xf numFmtId="0" fontId="2" fillId="5" borderId="1" xfId="0" applyFont="1" applyFill="1" applyBorder="1" applyAlignment="1">
      <alignment horizontal="center"/>
    </xf>
    <xf numFmtId="0" fontId="8" fillId="13" borderId="2" xfId="0" applyFont="1" applyFill="1" applyBorder="1" applyAlignment="1">
      <alignment horizontal="center"/>
    </xf>
    <xf numFmtId="0" fontId="1" fillId="2" borderId="2" xfId="0" applyFont="1" applyFill="1" applyBorder="1" applyAlignment="1">
      <alignment horizontal="center"/>
    </xf>
    <xf numFmtId="0" fontId="3" fillId="4" borderId="1" xfId="0" applyFont="1" applyFill="1" applyBorder="1" applyAlignment="1">
      <alignment horizontal="center" vertical="center"/>
    </xf>
    <xf numFmtId="0" fontId="2" fillId="8" borderId="1" xfId="0" applyFont="1" applyFill="1" applyBorder="1" applyAlignment="1">
      <alignment horizontal="center"/>
    </xf>
    <xf numFmtId="0" fontId="0" fillId="5" borderId="1" xfId="0" applyFill="1" applyBorder="1" applyAlignment="1">
      <alignment horizontal="center"/>
    </xf>
    <xf numFmtId="0" fontId="0" fillId="0" borderId="1" xfId="0" applyBorder="1" applyAlignment="1">
      <alignment horizontal="center"/>
    </xf>
    <xf numFmtId="0" fontId="2" fillId="7" borderId="0" xfId="0" applyFont="1" applyFill="1" applyAlignment="1">
      <alignment horizontal="center"/>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1" fillId="0" borderId="0" xfId="0" applyFont="1" applyAlignment="1">
      <alignment horizontal="center"/>
    </xf>
    <xf numFmtId="0" fontId="0" fillId="8" borderId="1" xfId="0" applyFill="1" applyBorder="1" applyAlignment="1">
      <alignment horizontal="center"/>
    </xf>
    <xf numFmtId="0" fontId="8" fillId="10" borderId="0" xfId="0" applyFont="1" applyFill="1" applyAlignment="1">
      <alignment horizontal="center"/>
    </xf>
    <xf numFmtId="0" fontId="2" fillId="3" borderId="1" xfId="0" applyFont="1" applyFill="1" applyBorder="1" applyAlignment="1">
      <alignment horizontal="left"/>
    </xf>
    <xf numFmtId="0" fontId="0" fillId="0" borderId="1" xfId="0" applyBorder="1" applyAlignment="1">
      <alignment horizontal="left"/>
    </xf>
    <xf numFmtId="0" fontId="9" fillId="5" borderId="0" xfId="0" applyFont="1" applyFill="1" applyAlignment="1">
      <alignment horizontal="center"/>
    </xf>
    <xf numFmtId="0" fontId="3" fillId="11" borderId="0" xfId="0" applyFont="1" applyFill="1" applyAlignment="1">
      <alignment horizontal="center"/>
    </xf>
    <xf numFmtId="0" fontId="8" fillId="3" borderId="0" xfId="0" applyFont="1" applyFill="1" applyAlignment="1">
      <alignment horizontal="center"/>
    </xf>
    <xf numFmtId="0" fontId="8" fillId="13" borderId="0" xfId="0" applyFont="1" applyFill="1" applyAlignment="1">
      <alignment horizontal="center"/>
    </xf>
    <xf numFmtId="0" fontId="3" fillId="8" borderId="0" xfId="0" applyFont="1" applyFill="1" applyAlignment="1">
      <alignment horizontal="center"/>
    </xf>
    <xf numFmtId="0" fontId="7" fillId="3" borderId="0" xfId="0" applyFont="1" applyFill="1" applyAlignment="1">
      <alignment horizontal="center"/>
    </xf>
    <xf numFmtId="0" fontId="7" fillId="3" borderId="2" xfId="0" applyFont="1" applyFill="1" applyBorder="1" applyAlignment="1">
      <alignment horizontal="center"/>
    </xf>
    <xf numFmtId="0" fontId="3" fillId="3" borderId="0" xfId="0" applyFont="1" applyFill="1" applyAlignment="1">
      <alignment horizontal="center"/>
    </xf>
    <xf numFmtId="0" fontId="15" fillId="8" borderId="0" xfId="0" applyFont="1" applyFill="1" applyAlignment="1">
      <alignment horizontal="center"/>
    </xf>
    <xf numFmtId="0" fontId="8" fillId="16" borderId="0" xfId="0" applyFont="1" applyFill="1" applyAlignment="1">
      <alignment horizontal="center"/>
    </xf>
    <xf numFmtId="0" fontId="3" fillId="8" borderId="2" xfId="0" applyFont="1" applyFill="1" applyBorder="1" applyAlignment="1">
      <alignment horizontal="center"/>
    </xf>
    <xf numFmtId="0" fontId="2" fillId="3" borderId="3" xfId="0" applyFont="1" applyFill="1" applyBorder="1"/>
    <xf numFmtId="0" fontId="0" fillId="3" borderId="1" xfId="0" applyFill="1" applyBorder="1" applyAlignment="1">
      <alignment horizontal="center"/>
    </xf>
    <xf numFmtId="0" fontId="0" fillId="17" borderId="1" xfId="0" applyFill="1" applyBorder="1" applyAlignment="1">
      <alignment horizontal="center"/>
    </xf>
    <xf numFmtId="0" fontId="8" fillId="12" borderId="7" xfId="0" applyFont="1" applyFill="1" applyBorder="1" applyAlignment="1">
      <alignment horizontal="center"/>
    </xf>
    <xf numFmtId="0" fontId="8" fillId="12" borderId="0" xfId="0" applyFont="1" applyFill="1" applyAlignment="1">
      <alignment horizontal="center"/>
    </xf>
    <xf numFmtId="0" fontId="3" fillId="12" borderId="0" xfId="0" applyFont="1" applyFill="1" applyAlignment="1">
      <alignment horizontal="center"/>
    </xf>
    <xf numFmtId="0" fontId="6" fillId="12" borderId="0" xfId="0" applyFont="1" applyFill="1" applyAlignment="1">
      <alignment horizontal="center"/>
    </xf>
    <xf numFmtId="0" fontId="7" fillId="13" borderId="1" xfId="0" applyFont="1" applyFill="1" applyBorder="1" applyAlignment="1">
      <alignment horizontal="center"/>
    </xf>
    <xf numFmtId="0" fontId="7" fillId="3" borderId="1" xfId="0" applyFont="1" applyFill="1" applyBorder="1" applyAlignment="1">
      <alignment horizontal="center"/>
    </xf>
    <xf numFmtId="0" fontId="2" fillId="11" borderId="1" xfId="0" applyFont="1" applyFill="1" applyBorder="1"/>
    <xf numFmtId="0" fontId="8" fillId="11" borderId="0" xfId="0" applyFont="1" applyFill="1" applyAlignment="1">
      <alignment horizontal="center"/>
    </xf>
    <xf numFmtId="0" fontId="8" fillId="3" borderId="2" xfId="0" applyFont="1" applyFill="1" applyBorder="1" applyAlignment="1">
      <alignment horizontal="center"/>
    </xf>
    <xf numFmtId="0" fontId="2" fillId="8" borderId="1" xfId="0" applyFont="1" applyFill="1" applyBorder="1"/>
    <xf numFmtId="0" fontId="2" fillId="8" borderId="1" xfId="0" applyFont="1" applyFill="1" applyBorder="1" applyAlignment="1">
      <alignment horizontal="left"/>
    </xf>
    <xf numFmtId="0" fontId="2" fillId="8" borderId="9" xfId="0" applyFont="1" applyFill="1" applyBorder="1" applyAlignment="1">
      <alignment horizontal="center"/>
    </xf>
    <xf numFmtId="0" fontId="2" fillId="8" borderId="2" xfId="0" applyFont="1" applyFill="1" applyBorder="1" applyAlignment="1">
      <alignment horizontal="center"/>
    </xf>
    <xf numFmtId="0" fontId="9" fillId="8" borderId="0" xfId="0" applyFont="1" applyFill="1" applyAlignment="1">
      <alignment horizontal="center"/>
    </xf>
    <xf numFmtId="0" fontId="15" fillId="11" borderId="0" xfId="0" applyFont="1" applyFill="1" applyAlignment="1">
      <alignment horizontal="center"/>
    </xf>
    <xf numFmtId="0" fontId="7" fillId="3" borderId="1" xfId="0" applyFont="1" applyFill="1" applyBorder="1"/>
  </cellXfs>
  <cellStyles count="2">
    <cellStyle name="Normal" xfId="0" builtinId="0"/>
    <cellStyle name="Percent" xfId="1" builtinId="5"/>
  </cellStyles>
  <dxfs count="2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Sheet.xlsx]POVIT TABLE AND CHART!PivotTable2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 AND CHART'!$B$4:$B$5</c:f>
              <c:strCache>
                <c:ptCount val="1"/>
                <c:pt idx="0">
                  <c:v>Sum of Unit Price - Keyboard</c:v>
                </c:pt>
              </c:strCache>
            </c:strRef>
          </c:tx>
          <c:spPr>
            <a:solidFill>
              <a:schemeClr val="accent1"/>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CHART'!$B$6:$B$36</c:f>
              <c:numCache>
                <c:formatCode>"₹"#,##0</c:formatCode>
                <c:ptCount val="15"/>
                <c:pt idx="2">
                  <c:v>1500</c:v>
                </c:pt>
                <c:pt idx="8">
                  <c:v>1500</c:v>
                </c:pt>
                <c:pt idx="14">
                  <c:v>1500</c:v>
                </c:pt>
              </c:numCache>
            </c:numRef>
          </c:val>
          <c:extLst>
            <c:ext xmlns:c16="http://schemas.microsoft.com/office/drawing/2014/chart" uri="{C3380CC4-5D6E-409C-BE32-E72D297353CC}">
              <c16:uniqueId val="{00000000-3E47-48D1-9C1F-A5BCF073FD2E}"/>
            </c:ext>
          </c:extLst>
        </c:ser>
        <c:ser>
          <c:idx val="1"/>
          <c:order val="1"/>
          <c:tx>
            <c:strRef>
              <c:f>'POVIT TABLE AND CHART'!$C$4:$C$5</c:f>
              <c:strCache>
                <c:ptCount val="1"/>
                <c:pt idx="0">
                  <c:v>Sum of Unit Price - Laptop</c:v>
                </c:pt>
              </c:strCache>
            </c:strRef>
          </c:tx>
          <c:spPr>
            <a:solidFill>
              <a:schemeClr val="accent2"/>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CHART'!$C$6:$C$36</c:f>
              <c:numCache>
                <c:formatCode>"₹"#,##0</c:formatCode>
                <c:ptCount val="15"/>
                <c:pt idx="0">
                  <c:v>45000</c:v>
                </c:pt>
                <c:pt idx="3">
                  <c:v>45000</c:v>
                </c:pt>
                <c:pt idx="6">
                  <c:v>45000</c:v>
                </c:pt>
                <c:pt idx="10">
                  <c:v>45000</c:v>
                </c:pt>
                <c:pt idx="13">
                  <c:v>45000</c:v>
                </c:pt>
              </c:numCache>
            </c:numRef>
          </c:val>
          <c:extLst>
            <c:ext xmlns:c16="http://schemas.microsoft.com/office/drawing/2014/chart" uri="{C3380CC4-5D6E-409C-BE32-E72D297353CC}">
              <c16:uniqueId val="{00000001-3E47-48D1-9C1F-A5BCF073FD2E}"/>
            </c:ext>
          </c:extLst>
        </c:ser>
        <c:ser>
          <c:idx val="2"/>
          <c:order val="2"/>
          <c:tx>
            <c:strRef>
              <c:f>'POVIT TABLE AND CHART'!$D$4:$D$5</c:f>
              <c:strCache>
                <c:ptCount val="1"/>
                <c:pt idx="0">
                  <c:v>Sum of Unit Price - Monitor</c:v>
                </c:pt>
              </c:strCache>
            </c:strRef>
          </c:tx>
          <c:spPr>
            <a:solidFill>
              <a:schemeClr val="accent3"/>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CHART'!$D$6:$D$36</c:f>
              <c:numCache>
                <c:formatCode>"₹"#,##0</c:formatCode>
                <c:ptCount val="15"/>
                <c:pt idx="1">
                  <c:v>12000</c:v>
                </c:pt>
                <c:pt idx="5">
                  <c:v>12000</c:v>
                </c:pt>
                <c:pt idx="9">
                  <c:v>12000</c:v>
                </c:pt>
                <c:pt idx="12">
                  <c:v>12000</c:v>
                </c:pt>
              </c:numCache>
            </c:numRef>
          </c:val>
          <c:extLst>
            <c:ext xmlns:c16="http://schemas.microsoft.com/office/drawing/2014/chart" uri="{C3380CC4-5D6E-409C-BE32-E72D297353CC}">
              <c16:uniqueId val="{0000000F-3E47-48D1-9C1F-A5BCF073FD2E}"/>
            </c:ext>
          </c:extLst>
        </c:ser>
        <c:ser>
          <c:idx val="3"/>
          <c:order val="3"/>
          <c:tx>
            <c:strRef>
              <c:f>'POVIT TABLE AND CHART'!$E$4:$E$5</c:f>
              <c:strCache>
                <c:ptCount val="1"/>
                <c:pt idx="0">
                  <c:v>Sum of Unit Price - Mouse</c:v>
                </c:pt>
              </c:strCache>
            </c:strRef>
          </c:tx>
          <c:spPr>
            <a:solidFill>
              <a:schemeClr val="accent4"/>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CHART'!$E$6:$E$36</c:f>
              <c:numCache>
                <c:formatCode>"₹"#,##0</c:formatCode>
                <c:ptCount val="15"/>
                <c:pt idx="4">
                  <c:v>800</c:v>
                </c:pt>
                <c:pt idx="7">
                  <c:v>800</c:v>
                </c:pt>
                <c:pt idx="11">
                  <c:v>800</c:v>
                </c:pt>
              </c:numCache>
            </c:numRef>
          </c:val>
          <c:extLst>
            <c:ext xmlns:c16="http://schemas.microsoft.com/office/drawing/2014/chart" uri="{C3380CC4-5D6E-409C-BE32-E72D297353CC}">
              <c16:uniqueId val="{00000010-3E47-48D1-9C1F-A5BCF073FD2E}"/>
            </c:ext>
          </c:extLst>
        </c:ser>
        <c:ser>
          <c:idx val="4"/>
          <c:order val="4"/>
          <c:tx>
            <c:strRef>
              <c:f>'POVIT TABLE AND CHART'!$F$4:$F$5</c:f>
              <c:strCache>
                <c:ptCount val="1"/>
                <c:pt idx="0">
                  <c:v>Sum of Sales Amount - Keyboard</c:v>
                </c:pt>
              </c:strCache>
            </c:strRef>
          </c:tx>
          <c:spPr>
            <a:solidFill>
              <a:schemeClr val="accent5"/>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CHART'!$F$6:$F$36</c:f>
              <c:numCache>
                <c:formatCode>"₹"#,##0</c:formatCode>
                <c:ptCount val="15"/>
                <c:pt idx="2">
                  <c:v>15000</c:v>
                </c:pt>
                <c:pt idx="8">
                  <c:v>18000</c:v>
                </c:pt>
                <c:pt idx="14">
                  <c:v>22500</c:v>
                </c:pt>
              </c:numCache>
            </c:numRef>
          </c:val>
          <c:extLst>
            <c:ext xmlns:c16="http://schemas.microsoft.com/office/drawing/2014/chart" uri="{C3380CC4-5D6E-409C-BE32-E72D297353CC}">
              <c16:uniqueId val="{00000011-3E47-48D1-9C1F-A5BCF073FD2E}"/>
            </c:ext>
          </c:extLst>
        </c:ser>
        <c:ser>
          <c:idx val="5"/>
          <c:order val="5"/>
          <c:tx>
            <c:strRef>
              <c:f>'POVIT TABLE AND CHART'!$G$4:$G$5</c:f>
              <c:strCache>
                <c:ptCount val="1"/>
                <c:pt idx="0">
                  <c:v>Sum of Sales Amount - Laptop</c:v>
                </c:pt>
              </c:strCache>
            </c:strRef>
          </c:tx>
          <c:spPr>
            <a:solidFill>
              <a:schemeClr val="accent6"/>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CHART'!$G$6:$G$36</c:f>
              <c:numCache>
                <c:formatCode>"₹"#,##0</c:formatCode>
                <c:ptCount val="15"/>
                <c:pt idx="0">
                  <c:v>135000</c:v>
                </c:pt>
                <c:pt idx="3">
                  <c:v>90000</c:v>
                </c:pt>
                <c:pt idx="6">
                  <c:v>90000</c:v>
                </c:pt>
                <c:pt idx="10">
                  <c:v>45000</c:v>
                </c:pt>
                <c:pt idx="13">
                  <c:v>135000</c:v>
                </c:pt>
              </c:numCache>
            </c:numRef>
          </c:val>
          <c:extLst>
            <c:ext xmlns:c16="http://schemas.microsoft.com/office/drawing/2014/chart" uri="{C3380CC4-5D6E-409C-BE32-E72D297353CC}">
              <c16:uniqueId val="{00000012-3E47-48D1-9C1F-A5BCF073FD2E}"/>
            </c:ext>
          </c:extLst>
        </c:ser>
        <c:ser>
          <c:idx val="6"/>
          <c:order val="6"/>
          <c:tx>
            <c:strRef>
              <c:f>'POVIT TABLE AND CHART'!$H$4:$H$5</c:f>
              <c:strCache>
                <c:ptCount val="1"/>
                <c:pt idx="0">
                  <c:v>Sum of Sales Amount - Monitor</c:v>
                </c:pt>
              </c:strCache>
            </c:strRef>
          </c:tx>
          <c:spPr>
            <a:solidFill>
              <a:schemeClr val="accent1">
                <a:lumMod val="60000"/>
              </a:schemeClr>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CHART'!$H$6:$H$36</c:f>
              <c:numCache>
                <c:formatCode>"₹"#,##0</c:formatCode>
                <c:ptCount val="15"/>
                <c:pt idx="1">
                  <c:v>60000</c:v>
                </c:pt>
                <c:pt idx="5">
                  <c:v>48000</c:v>
                </c:pt>
                <c:pt idx="9">
                  <c:v>72000</c:v>
                </c:pt>
                <c:pt idx="12">
                  <c:v>36000</c:v>
                </c:pt>
              </c:numCache>
            </c:numRef>
          </c:val>
          <c:extLst>
            <c:ext xmlns:c16="http://schemas.microsoft.com/office/drawing/2014/chart" uri="{C3380CC4-5D6E-409C-BE32-E72D297353CC}">
              <c16:uniqueId val="{00000013-3E47-48D1-9C1F-A5BCF073FD2E}"/>
            </c:ext>
          </c:extLst>
        </c:ser>
        <c:ser>
          <c:idx val="7"/>
          <c:order val="7"/>
          <c:tx>
            <c:strRef>
              <c:f>'POVIT TABLE AND CHART'!$I$4:$I$5</c:f>
              <c:strCache>
                <c:ptCount val="1"/>
                <c:pt idx="0">
                  <c:v>Sum of Sales Amount - Mouse</c:v>
                </c:pt>
              </c:strCache>
            </c:strRef>
          </c:tx>
          <c:spPr>
            <a:solidFill>
              <a:schemeClr val="accent2">
                <a:lumMod val="60000"/>
              </a:schemeClr>
            </a:solidFill>
            <a:ln>
              <a:noFill/>
            </a:ln>
            <a:effectLst/>
          </c:spPr>
          <c:invertIfNegative val="0"/>
          <c:cat>
            <c:multiLvlStrRef>
              <c:f>'POVIT TABLE AND CHART'!$A$6:$A$36</c:f>
              <c:multiLvlStrCache>
                <c:ptCount val="15"/>
                <c:lvl>
                  <c:pt idx="0">
                    <c:v>Customer Support</c:v>
                  </c:pt>
                  <c:pt idx="1">
                    <c:v>Sales</c:v>
                  </c:pt>
                  <c:pt idx="2">
                    <c:v>Customer Support</c:v>
                  </c:pt>
                  <c:pt idx="3">
                    <c:v>Technical Support</c:v>
                  </c:pt>
                  <c:pt idx="4">
                    <c:v>Sales</c:v>
                  </c:pt>
                  <c:pt idx="5">
                    <c:v>Customer Support</c:v>
                  </c:pt>
                  <c:pt idx="6">
                    <c:v>Sales</c:v>
                  </c:pt>
                  <c:pt idx="7">
                    <c:v>Customer Support</c:v>
                  </c:pt>
                  <c:pt idx="8">
                    <c:v>Technical Support</c:v>
                  </c:pt>
                  <c:pt idx="9">
                    <c:v>Sales</c:v>
                  </c:pt>
                  <c:pt idx="10">
                    <c:v>Customer Support</c:v>
                  </c:pt>
                  <c:pt idx="11">
                    <c:v>Sales</c:v>
                  </c:pt>
                  <c:pt idx="12">
                    <c:v>Customer Support</c:v>
                  </c:pt>
                  <c:pt idx="13">
                    <c:v>Technical Support</c:v>
                  </c:pt>
                  <c:pt idx="14">
                    <c:v>Sales</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'POVIT TABLE AND CHART'!$I$6:$I$36</c:f>
              <c:numCache>
                <c:formatCode>"₹"#,##0</c:formatCode>
                <c:ptCount val="15"/>
                <c:pt idx="4">
                  <c:v>12000</c:v>
                </c:pt>
                <c:pt idx="7">
                  <c:v>16000</c:v>
                </c:pt>
                <c:pt idx="11">
                  <c:v>20000</c:v>
                </c:pt>
              </c:numCache>
            </c:numRef>
          </c:val>
          <c:extLst>
            <c:ext xmlns:c16="http://schemas.microsoft.com/office/drawing/2014/chart" uri="{C3380CC4-5D6E-409C-BE32-E72D297353CC}">
              <c16:uniqueId val="{00000014-3E47-48D1-9C1F-A5BCF073FD2E}"/>
            </c:ext>
          </c:extLst>
        </c:ser>
        <c:dLbls>
          <c:showLegendKey val="0"/>
          <c:showVal val="0"/>
          <c:showCatName val="0"/>
          <c:showSerName val="0"/>
          <c:showPercent val="0"/>
          <c:showBubbleSize val="0"/>
        </c:dLbls>
        <c:gapWidth val="219"/>
        <c:overlap val="-27"/>
        <c:axId val="1815450624"/>
        <c:axId val="1895781328"/>
      </c:barChart>
      <c:catAx>
        <c:axId val="181545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81328"/>
        <c:crosses val="autoZero"/>
        <c:auto val="1"/>
        <c:lblAlgn val="ctr"/>
        <c:lblOffset val="100"/>
        <c:noMultiLvlLbl val="0"/>
      </c:catAx>
      <c:valAx>
        <c:axId val="1895781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5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1'!$B$3</c:f>
              <c:strCache>
                <c:ptCount val="1"/>
                <c:pt idx="0">
                  <c:v>Total</c:v>
                </c:pt>
              </c:strCache>
            </c:strRef>
          </c:tx>
          <c:spPr>
            <a:solidFill>
              <a:schemeClr val="accent1"/>
            </a:solidFill>
            <a:ln>
              <a:noFill/>
            </a:ln>
            <a:effectLst/>
          </c:spPr>
          <c:invertIfNegative val="0"/>
          <c:cat>
            <c:strRef>
              <c:f>'DATA 1'!$A$4:$A$7</c:f>
              <c:strCache>
                <c:ptCount val="3"/>
                <c:pt idx="0">
                  <c:v>Customer Support</c:v>
                </c:pt>
                <c:pt idx="1">
                  <c:v>Sales</c:v>
                </c:pt>
                <c:pt idx="2">
                  <c:v>Technical Support</c:v>
                </c:pt>
              </c:strCache>
            </c:strRef>
          </c:cat>
          <c:val>
            <c:numRef>
              <c:f>'DATA 1'!$B$4:$B$7</c:f>
              <c:numCache>
                <c:formatCode>"₹"#,##0</c:formatCode>
                <c:ptCount val="3"/>
                <c:pt idx="0">
                  <c:v>295000</c:v>
                </c:pt>
                <c:pt idx="1">
                  <c:v>276500</c:v>
                </c:pt>
                <c:pt idx="2">
                  <c:v>243000</c:v>
                </c:pt>
              </c:numCache>
            </c:numRef>
          </c:val>
          <c:extLst>
            <c:ext xmlns:c16="http://schemas.microsoft.com/office/drawing/2014/chart" uri="{C3380CC4-5D6E-409C-BE32-E72D297353CC}">
              <c16:uniqueId val="{00000000-86AB-40A4-9B81-5E9932C8330C}"/>
            </c:ext>
          </c:extLst>
        </c:ser>
        <c:dLbls>
          <c:showLegendKey val="0"/>
          <c:showVal val="0"/>
          <c:showCatName val="0"/>
          <c:showSerName val="0"/>
          <c:showPercent val="0"/>
          <c:showBubbleSize val="0"/>
        </c:dLbls>
        <c:gapWidth val="219"/>
        <c:overlap val="-27"/>
        <c:axId val="1580737872"/>
        <c:axId val="1269502320"/>
      </c:barChart>
      <c:catAx>
        <c:axId val="15807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02320"/>
        <c:crosses val="autoZero"/>
        <c:auto val="1"/>
        <c:lblAlgn val="ctr"/>
        <c:lblOffset val="100"/>
        <c:noMultiLvlLbl val="0"/>
      </c:catAx>
      <c:valAx>
        <c:axId val="126950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2!PivotTable1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272929425488478"/>
          <c:w val="0.78016185476815403"/>
          <c:h val="0.66319663167104115"/>
        </c:manualLayout>
      </c:layout>
      <c:pie3DChart>
        <c:varyColors val="1"/>
        <c:ser>
          <c:idx val="0"/>
          <c:order val="0"/>
          <c:tx>
            <c:strRef>
              <c:f>'DATA 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338-4E5A-808C-BDB91896A58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38-4E5A-808C-BDB91896A58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338-4E5A-808C-BDB91896A58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338-4E5A-808C-BDB91896A5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2'!$A$4:$A$8</c:f>
              <c:strCache>
                <c:ptCount val="4"/>
                <c:pt idx="0">
                  <c:v>Keyboard</c:v>
                </c:pt>
                <c:pt idx="1">
                  <c:v>Laptop</c:v>
                </c:pt>
                <c:pt idx="2">
                  <c:v>Monitor</c:v>
                </c:pt>
                <c:pt idx="3">
                  <c:v>Mouse</c:v>
                </c:pt>
              </c:strCache>
            </c:strRef>
          </c:cat>
          <c:val>
            <c:numRef>
              <c:f>'DATA 2'!$B$4:$B$8</c:f>
              <c:numCache>
                <c:formatCode>"₹"#,##0</c:formatCode>
                <c:ptCount val="4"/>
                <c:pt idx="0">
                  <c:v>55500</c:v>
                </c:pt>
                <c:pt idx="1">
                  <c:v>495000</c:v>
                </c:pt>
                <c:pt idx="2">
                  <c:v>216000</c:v>
                </c:pt>
                <c:pt idx="3">
                  <c:v>48000</c:v>
                </c:pt>
              </c:numCache>
            </c:numRef>
          </c:val>
          <c:extLst>
            <c:ext xmlns:c16="http://schemas.microsoft.com/office/drawing/2014/chart" uri="{C3380CC4-5D6E-409C-BE32-E72D297353CC}">
              <c16:uniqueId val="{00000000-DA7A-4937-B9A2-56C0E1F0877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'DATA 3'!$B$3</c:f>
              <c:strCache>
                <c:ptCount val="1"/>
                <c:pt idx="0">
                  <c:v>Total</c:v>
                </c:pt>
              </c:strCache>
            </c:strRef>
          </c:tx>
          <c:spPr>
            <a:solidFill>
              <a:schemeClr val="accent1"/>
            </a:solidFill>
            <a:ln>
              <a:noFill/>
            </a:ln>
            <a:effectLst/>
            <a:sp3d/>
          </c:spPr>
          <c:cat>
            <c:strRef>
              <c:f>'DATA 3'!$A$4:$A$7</c:f>
              <c:strCache>
                <c:ptCount val="3"/>
                <c:pt idx="0">
                  <c:v>Bangalore</c:v>
                </c:pt>
                <c:pt idx="1">
                  <c:v>Chennai</c:v>
                </c:pt>
                <c:pt idx="2">
                  <c:v>Hyderabad</c:v>
                </c:pt>
              </c:strCache>
            </c:strRef>
          </c:cat>
          <c:val>
            <c:numRef>
              <c:f>'DATA 3'!$B$4:$B$7</c:f>
              <c:numCache>
                <c:formatCode>General</c:formatCode>
                <c:ptCount val="3"/>
                <c:pt idx="0">
                  <c:v>46</c:v>
                </c:pt>
                <c:pt idx="1">
                  <c:v>49</c:v>
                </c:pt>
                <c:pt idx="2">
                  <c:v>31</c:v>
                </c:pt>
              </c:numCache>
            </c:numRef>
          </c:val>
          <c:smooth val="0"/>
          <c:extLst>
            <c:ext xmlns:c16="http://schemas.microsoft.com/office/drawing/2014/chart" uri="{C3380CC4-5D6E-409C-BE32-E72D297353CC}">
              <c16:uniqueId val="{00000000-D12B-439E-9323-AEE5300754F4}"/>
            </c:ext>
          </c:extLst>
        </c:ser>
        <c:dLbls>
          <c:showLegendKey val="0"/>
          <c:showVal val="0"/>
          <c:showCatName val="0"/>
          <c:showSerName val="0"/>
          <c:showPercent val="0"/>
          <c:showBubbleSize val="0"/>
        </c:dLbls>
        <c:axId val="1230807471"/>
        <c:axId val="1224910799"/>
        <c:axId val="1111396255"/>
      </c:line3DChart>
      <c:catAx>
        <c:axId val="1230807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0799"/>
        <c:crosses val="autoZero"/>
        <c:auto val="1"/>
        <c:lblAlgn val="ctr"/>
        <c:lblOffset val="100"/>
        <c:noMultiLvlLbl val="0"/>
      </c:catAx>
      <c:valAx>
        <c:axId val="122491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07471"/>
        <c:crosses val="autoZero"/>
        <c:crossBetween val="between"/>
      </c:valAx>
      <c:serAx>
        <c:axId val="111139625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07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4!PivotTable3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'DATA 4'!$A$4:$A$9</c:f>
              <c:strCache>
                <c:ptCount val="5"/>
                <c:pt idx="0">
                  <c:v>Asha</c:v>
                </c:pt>
                <c:pt idx="1">
                  <c:v>Kiran</c:v>
                </c:pt>
                <c:pt idx="2">
                  <c:v>Meena</c:v>
                </c:pt>
                <c:pt idx="3">
                  <c:v>Priya</c:v>
                </c:pt>
                <c:pt idx="4">
                  <c:v>Ravi</c:v>
                </c:pt>
              </c:strCache>
            </c:strRef>
          </c:cat>
          <c:val>
            <c:numRef>
              <c:f>'DATA 4'!$B$4:$B$9</c:f>
              <c:numCache>
                <c:formatCode>"₹"#,##0</c:formatCode>
                <c:ptCount val="5"/>
                <c:pt idx="0">
                  <c:v>228000</c:v>
                </c:pt>
                <c:pt idx="1">
                  <c:v>243000</c:v>
                </c:pt>
                <c:pt idx="2">
                  <c:v>106500</c:v>
                </c:pt>
                <c:pt idx="3">
                  <c:v>67000</c:v>
                </c:pt>
                <c:pt idx="4">
                  <c:v>170000</c:v>
                </c:pt>
              </c:numCache>
            </c:numRef>
          </c:val>
          <c:extLst>
            <c:ext xmlns:c16="http://schemas.microsoft.com/office/drawing/2014/chart" uri="{C3380CC4-5D6E-409C-BE32-E72D297353CC}">
              <c16:uniqueId val="{00000000-BE85-4C7E-B798-ED35322E47F9}"/>
            </c:ext>
          </c:extLst>
        </c:ser>
        <c:dLbls>
          <c:showLegendKey val="0"/>
          <c:showVal val="0"/>
          <c:showCatName val="0"/>
          <c:showSerName val="0"/>
          <c:showPercent val="0"/>
          <c:showBubbleSize val="0"/>
        </c:dLbls>
        <c:axId val="1230808863"/>
        <c:axId val="1224818639"/>
      </c:areaChart>
      <c:catAx>
        <c:axId val="12308088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818639"/>
        <c:crosses val="autoZero"/>
        <c:auto val="1"/>
        <c:lblAlgn val="ctr"/>
        <c:lblOffset val="100"/>
        <c:noMultiLvlLbl val="0"/>
      </c:catAx>
      <c:valAx>
        <c:axId val="1224818639"/>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808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5'!$B$3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'DATA 5'!$A$4:$A$7</c:f>
              <c:strCache>
                <c:ptCount val="3"/>
                <c:pt idx="0">
                  <c:v>Jan</c:v>
                </c:pt>
                <c:pt idx="1">
                  <c:v>Feb</c:v>
                </c:pt>
                <c:pt idx="2">
                  <c:v>Mar</c:v>
                </c:pt>
              </c:strCache>
            </c:strRef>
          </c:cat>
          <c:val>
            <c:numRef>
              <c:f>'DATA 5'!$B$4:$B$7</c:f>
              <c:numCache>
                <c:formatCode>"₹"#,##0</c:formatCode>
                <c:ptCount val="3"/>
                <c:pt idx="0">
                  <c:v>312000</c:v>
                </c:pt>
                <c:pt idx="1">
                  <c:v>244000</c:v>
                </c:pt>
                <c:pt idx="2">
                  <c:v>258500</c:v>
                </c:pt>
              </c:numCache>
            </c:numRef>
          </c:val>
          <c:extLst>
            <c:ext xmlns:c16="http://schemas.microsoft.com/office/drawing/2014/chart" uri="{C3380CC4-5D6E-409C-BE32-E72D297353CC}">
              <c16:uniqueId val="{00000000-95C8-4AD4-97BE-C2711ABB3151}"/>
            </c:ext>
          </c:extLst>
        </c:ser>
        <c:dLbls>
          <c:showLegendKey val="0"/>
          <c:showVal val="0"/>
          <c:showCatName val="0"/>
          <c:showSerName val="0"/>
          <c:showPercent val="0"/>
          <c:showBubbleSize val="0"/>
        </c:dLbls>
        <c:gapWidth val="150"/>
        <c:shape val="box"/>
        <c:axId val="1233979407"/>
        <c:axId val="1224899279"/>
        <c:axId val="0"/>
      </c:bar3DChart>
      <c:catAx>
        <c:axId val="1233979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4899279"/>
        <c:crosses val="autoZero"/>
        <c:auto val="1"/>
        <c:lblAlgn val="ctr"/>
        <c:lblOffset val="100"/>
        <c:noMultiLvlLbl val="0"/>
      </c:catAx>
      <c:valAx>
        <c:axId val="122489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397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6!PivotTable5</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6'!$B$3:$B$4</c:f>
              <c:strCache>
                <c:ptCount val="1"/>
                <c:pt idx="0">
                  <c:v>Keyboard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6'!$A$5:$A$8</c:f>
              <c:strCache>
                <c:ptCount val="3"/>
                <c:pt idx="0">
                  <c:v>Customer Support</c:v>
                </c:pt>
                <c:pt idx="1">
                  <c:v>Sales</c:v>
                </c:pt>
                <c:pt idx="2">
                  <c:v>Technical Support</c:v>
                </c:pt>
              </c:strCache>
            </c:strRef>
          </c:cat>
          <c:val>
            <c:numRef>
              <c:f>'DATA 6'!$B$5:$B$8</c:f>
              <c:numCache>
                <c:formatCode>General</c:formatCode>
                <c:ptCount val="3"/>
                <c:pt idx="0">
                  <c:v>10</c:v>
                </c:pt>
                <c:pt idx="1">
                  <c:v>15</c:v>
                </c:pt>
                <c:pt idx="2">
                  <c:v>12</c:v>
                </c:pt>
              </c:numCache>
            </c:numRef>
          </c:val>
          <c:smooth val="0"/>
          <c:extLst>
            <c:ext xmlns:c16="http://schemas.microsoft.com/office/drawing/2014/chart" uri="{C3380CC4-5D6E-409C-BE32-E72D297353CC}">
              <c16:uniqueId val="{00000000-A3EE-4659-8673-7DDB3F7DBB74}"/>
            </c:ext>
          </c:extLst>
        </c:ser>
        <c:ser>
          <c:idx val="1"/>
          <c:order val="1"/>
          <c:tx>
            <c:strRef>
              <c:f>'DATA 6'!$C$3:$C$4</c:f>
              <c:strCache>
                <c:ptCount val="1"/>
                <c:pt idx="0">
                  <c:v>Laptop</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'DATA 6'!$A$5:$A$8</c:f>
              <c:strCache>
                <c:ptCount val="3"/>
                <c:pt idx="0">
                  <c:v>Customer Support</c:v>
                </c:pt>
                <c:pt idx="1">
                  <c:v>Sales</c:v>
                </c:pt>
                <c:pt idx="2">
                  <c:v>Technical Support</c:v>
                </c:pt>
              </c:strCache>
            </c:strRef>
          </c:cat>
          <c:val>
            <c:numRef>
              <c:f>'DATA 6'!$C$5:$C$8</c:f>
              <c:numCache>
                <c:formatCode>General</c:formatCode>
                <c:ptCount val="3"/>
                <c:pt idx="0">
                  <c:v>4</c:v>
                </c:pt>
                <c:pt idx="1">
                  <c:v>2</c:v>
                </c:pt>
                <c:pt idx="2">
                  <c:v>5</c:v>
                </c:pt>
              </c:numCache>
            </c:numRef>
          </c:val>
          <c:smooth val="0"/>
          <c:extLst>
            <c:ext xmlns:c16="http://schemas.microsoft.com/office/drawing/2014/chart" uri="{C3380CC4-5D6E-409C-BE32-E72D297353CC}">
              <c16:uniqueId val="{00000001-A3EE-4659-8673-7DDB3F7DBB74}"/>
            </c:ext>
          </c:extLst>
        </c:ser>
        <c:ser>
          <c:idx val="2"/>
          <c:order val="2"/>
          <c:tx>
            <c:strRef>
              <c:f>'DATA 6'!$D$3:$D$4</c:f>
              <c:strCache>
                <c:ptCount val="1"/>
                <c:pt idx="0">
                  <c:v>Monitor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'DATA 6'!$A$5:$A$8</c:f>
              <c:strCache>
                <c:ptCount val="3"/>
                <c:pt idx="0">
                  <c:v>Customer Support</c:v>
                </c:pt>
                <c:pt idx="1">
                  <c:v>Sales</c:v>
                </c:pt>
                <c:pt idx="2">
                  <c:v>Technical Support</c:v>
                </c:pt>
              </c:strCache>
            </c:strRef>
          </c:cat>
          <c:val>
            <c:numRef>
              <c:f>'DATA 6'!$D$5:$D$8</c:f>
              <c:numCache>
                <c:formatCode>General</c:formatCode>
                <c:ptCount val="3"/>
                <c:pt idx="0">
                  <c:v>7</c:v>
                </c:pt>
                <c:pt idx="1">
                  <c:v>11</c:v>
                </c:pt>
              </c:numCache>
            </c:numRef>
          </c:val>
          <c:smooth val="0"/>
          <c:extLst>
            <c:ext xmlns:c16="http://schemas.microsoft.com/office/drawing/2014/chart" uri="{C3380CC4-5D6E-409C-BE32-E72D297353CC}">
              <c16:uniqueId val="{00000002-A3EE-4659-8673-7DDB3F7DBB74}"/>
            </c:ext>
          </c:extLst>
        </c:ser>
        <c:ser>
          <c:idx val="3"/>
          <c:order val="3"/>
          <c:tx>
            <c:strRef>
              <c:f>'DATA 6'!$E$3:$E$4</c:f>
              <c:strCache>
                <c:ptCount val="1"/>
                <c:pt idx="0">
                  <c:v>Mouse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'DATA 6'!$A$5:$A$8</c:f>
              <c:strCache>
                <c:ptCount val="3"/>
                <c:pt idx="0">
                  <c:v>Customer Support</c:v>
                </c:pt>
                <c:pt idx="1">
                  <c:v>Sales</c:v>
                </c:pt>
                <c:pt idx="2">
                  <c:v>Technical Support</c:v>
                </c:pt>
              </c:strCache>
            </c:strRef>
          </c:cat>
          <c:val>
            <c:numRef>
              <c:f>'DATA 6'!$E$5:$E$8</c:f>
              <c:numCache>
                <c:formatCode>General</c:formatCode>
                <c:ptCount val="3"/>
                <c:pt idx="0">
                  <c:v>20</c:v>
                </c:pt>
                <c:pt idx="1">
                  <c:v>40</c:v>
                </c:pt>
              </c:numCache>
            </c:numRef>
          </c:val>
          <c:smooth val="0"/>
          <c:extLst>
            <c:ext xmlns:c16="http://schemas.microsoft.com/office/drawing/2014/chart" uri="{C3380CC4-5D6E-409C-BE32-E72D297353CC}">
              <c16:uniqueId val="{00000003-A3EE-4659-8673-7DDB3F7DBB74}"/>
            </c:ext>
          </c:extLst>
        </c:ser>
        <c:dLbls>
          <c:showLegendKey val="0"/>
          <c:showVal val="0"/>
          <c:showCatName val="0"/>
          <c:showSerName val="0"/>
          <c:showPercent val="0"/>
          <c:showBubbleSize val="0"/>
        </c:dLbls>
        <c:marker val="1"/>
        <c:smooth val="0"/>
        <c:axId val="1346974575"/>
        <c:axId val="1224915599"/>
      </c:lineChart>
      <c:catAx>
        <c:axId val="1346974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915599"/>
        <c:crosses val="autoZero"/>
        <c:auto val="1"/>
        <c:lblAlgn val="ctr"/>
        <c:lblOffset val="100"/>
        <c:noMultiLvlLbl val="0"/>
      </c:catAx>
      <c:valAx>
        <c:axId val="1224915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97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1'!$B$3</c:f>
              <c:strCache>
                <c:ptCount val="1"/>
                <c:pt idx="0">
                  <c:v>Total</c:v>
                </c:pt>
              </c:strCache>
            </c:strRef>
          </c:tx>
          <c:spPr>
            <a:solidFill>
              <a:schemeClr val="accent1"/>
            </a:solidFill>
            <a:ln>
              <a:noFill/>
            </a:ln>
            <a:effectLst/>
          </c:spPr>
          <c:invertIfNegative val="0"/>
          <c:cat>
            <c:strRef>
              <c:f>'DATA 1'!$A$4:$A$7</c:f>
              <c:strCache>
                <c:ptCount val="3"/>
                <c:pt idx="0">
                  <c:v>Customer Support</c:v>
                </c:pt>
                <c:pt idx="1">
                  <c:v>Sales</c:v>
                </c:pt>
                <c:pt idx="2">
                  <c:v>Technical Support</c:v>
                </c:pt>
              </c:strCache>
            </c:strRef>
          </c:cat>
          <c:val>
            <c:numRef>
              <c:f>'DATA 1'!$B$4:$B$7</c:f>
              <c:numCache>
                <c:formatCode>"₹"#,##0</c:formatCode>
                <c:ptCount val="3"/>
                <c:pt idx="0">
                  <c:v>295000</c:v>
                </c:pt>
                <c:pt idx="1">
                  <c:v>276500</c:v>
                </c:pt>
                <c:pt idx="2">
                  <c:v>243000</c:v>
                </c:pt>
              </c:numCache>
            </c:numRef>
          </c:val>
          <c:extLst>
            <c:ext xmlns:c16="http://schemas.microsoft.com/office/drawing/2014/chart" uri="{C3380CC4-5D6E-409C-BE32-E72D297353CC}">
              <c16:uniqueId val="{00000000-5A18-44BF-87AC-255722159ADB}"/>
            </c:ext>
          </c:extLst>
        </c:ser>
        <c:dLbls>
          <c:showLegendKey val="0"/>
          <c:showVal val="0"/>
          <c:showCatName val="0"/>
          <c:showSerName val="0"/>
          <c:showPercent val="0"/>
          <c:showBubbleSize val="0"/>
        </c:dLbls>
        <c:gapWidth val="219"/>
        <c:overlap val="-27"/>
        <c:axId val="1580737872"/>
        <c:axId val="1269502320"/>
      </c:barChart>
      <c:catAx>
        <c:axId val="15807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02320"/>
        <c:crosses val="autoZero"/>
        <c:auto val="1"/>
        <c:lblAlgn val="ctr"/>
        <c:lblOffset val="100"/>
        <c:noMultiLvlLbl val="0"/>
      </c:catAx>
      <c:valAx>
        <c:axId val="126950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2!PivotTable1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272929425488478"/>
          <c:w val="0.78016185476815403"/>
          <c:h val="0.66319663167104115"/>
        </c:manualLayout>
      </c:layout>
      <c:pie3DChart>
        <c:varyColors val="1"/>
        <c:ser>
          <c:idx val="0"/>
          <c:order val="0"/>
          <c:tx>
            <c:strRef>
              <c:f>'DATA 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C03-48FF-A4AF-4559C171AA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C03-48FF-A4AF-4559C171AA7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C03-48FF-A4AF-4559C171AA7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C03-48FF-A4AF-4559C171AA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2'!$A$4:$A$8</c:f>
              <c:strCache>
                <c:ptCount val="4"/>
                <c:pt idx="0">
                  <c:v>Keyboard</c:v>
                </c:pt>
                <c:pt idx="1">
                  <c:v>Laptop</c:v>
                </c:pt>
                <c:pt idx="2">
                  <c:v>Monitor</c:v>
                </c:pt>
                <c:pt idx="3">
                  <c:v>Mouse</c:v>
                </c:pt>
              </c:strCache>
            </c:strRef>
          </c:cat>
          <c:val>
            <c:numRef>
              <c:f>'DATA 2'!$B$4:$B$8</c:f>
              <c:numCache>
                <c:formatCode>"₹"#,##0</c:formatCode>
                <c:ptCount val="4"/>
                <c:pt idx="0">
                  <c:v>55500</c:v>
                </c:pt>
                <c:pt idx="1">
                  <c:v>495000</c:v>
                </c:pt>
                <c:pt idx="2">
                  <c:v>216000</c:v>
                </c:pt>
                <c:pt idx="3">
                  <c:v>48000</c:v>
                </c:pt>
              </c:numCache>
            </c:numRef>
          </c:val>
          <c:extLst>
            <c:ext xmlns:c16="http://schemas.microsoft.com/office/drawing/2014/chart" uri="{C3380CC4-5D6E-409C-BE32-E72D297353CC}">
              <c16:uniqueId val="{00000008-AC03-48FF-A4AF-4559C171AA7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3!PivotTable2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'DATA 3'!$B$3</c:f>
              <c:strCache>
                <c:ptCount val="1"/>
                <c:pt idx="0">
                  <c:v>Total</c:v>
                </c:pt>
              </c:strCache>
            </c:strRef>
          </c:tx>
          <c:spPr>
            <a:solidFill>
              <a:schemeClr val="accent1"/>
            </a:solidFill>
            <a:ln>
              <a:noFill/>
            </a:ln>
            <a:effectLst/>
            <a:sp3d/>
          </c:spPr>
          <c:cat>
            <c:strRef>
              <c:f>'DATA 3'!$A$4:$A$7</c:f>
              <c:strCache>
                <c:ptCount val="3"/>
                <c:pt idx="0">
                  <c:v>Bangalore</c:v>
                </c:pt>
                <c:pt idx="1">
                  <c:v>Chennai</c:v>
                </c:pt>
                <c:pt idx="2">
                  <c:v>Hyderabad</c:v>
                </c:pt>
              </c:strCache>
            </c:strRef>
          </c:cat>
          <c:val>
            <c:numRef>
              <c:f>'DATA 3'!$B$4:$B$7</c:f>
              <c:numCache>
                <c:formatCode>General</c:formatCode>
                <c:ptCount val="3"/>
                <c:pt idx="0">
                  <c:v>46</c:v>
                </c:pt>
                <c:pt idx="1">
                  <c:v>49</c:v>
                </c:pt>
                <c:pt idx="2">
                  <c:v>31</c:v>
                </c:pt>
              </c:numCache>
            </c:numRef>
          </c:val>
          <c:smooth val="0"/>
          <c:extLst>
            <c:ext xmlns:c16="http://schemas.microsoft.com/office/drawing/2014/chart" uri="{C3380CC4-5D6E-409C-BE32-E72D297353CC}">
              <c16:uniqueId val="{00000000-6360-4D90-B951-73B7F02923EA}"/>
            </c:ext>
          </c:extLst>
        </c:ser>
        <c:dLbls>
          <c:showLegendKey val="0"/>
          <c:showVal val="0"/>
          <c:showCatName val="0"/>
          <c:showSerName val="0"/>
          <c:showPercent val="0"/>
          <c:showBubbleSize val="0"/>
        </c:dLbls>
        <c:axId val="1230807471"/>
        <c:axId val="1224910799"/>
        <c:axId val="1111396255"/>
      </c:line3DChart>
      <c:catAx>
        <c:axId val="1230807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0799"/>
        <c:crosses val="autoZero"/>
        <c:auto val="1"/>
        <c:lblAlgn val="ctr"/>
        <c:lblOffset val="100"/>
        <c:noMultiLvlLbl val="0"/>
      </c:catAx>
      <c:valAx>
        <c:axId val="122491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07471"/>
        <c:crosses val="autoZero"/>
        <c:crossBetween val="between"/>
      </c:valAx>
      <c:serAx>
        <c:axId val="111139625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07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4!PivotTable3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'DATA 4'!$A$4:$A$9</c:f>
              <c:strCache>
                <c:ptCount val="5"/>
                <c:pt idx="0">
                  <c:v>Asha</c:v>
                </c:pt>
                <c:pt idx="1">
                  <c:v>Kiran</c:v>
                </c:pt>
                <c:pt idx="2">
                  <c:v>Meena</c:v>
                </c:pt>
                <c:pt idx="3">
                  <c:v>Priya</c:v>
                </c:pt>
                <c:pt idx="4">
                  <c:v>Ravi</c:v>
                </c:pt>
              </c:strCache>
            </c:strRef>
          </c:cat>
          <c:val>
            <c:numRef>
              <c:f>'DATA 4'!$B$4:$B$9</c:f>
              <c:numCache>
                <c:formatCode>"₹"#,##0</c:formatCode>
                <c:ptCount val="5"/>
                <c:pt idx="0">
                  <c:v>228000</c:v>
                </c:pt>
                <c:pt idx="1">
                  <c:v>243000</c:v>
                </c:pt>
                <c:pt idx="2">
                  <c:v>106500</c:v>
                </c:pt>
                <c:pt idx="3">
                  <c:v>67000</c:v>
                </c:pt>
                <c:pt idx="4">
                  <c:v>170000</c:v>
                </c:pt>
              </c:numCache>
            </c:numRef>
          </c:val>
          <c:extLst>
            <c:ext xmlns:c16="http://schemas.microsoft.com/office/drawing/2014/chart" uri="{C3380CC4-5D6E-409C-BE32-E72D297353CC}">
              <c16:uniqueId val="{00000000-4540-41EC-A73C-BB82DCEB2BB1}"/>
            </c:ext>
          </c:extLst>
        </c:ser>
        <c:dLbls>
          <c:showLegendKey val="0"/>
          <c:showVal val="0"/>
          <c:showCatName val="0"/>
          <c:showSerName val="0"/>
          <c:showPercent val="0"/>
          <c:showBubbleSize val="0"/>
        </c:dLbls>
        <c:axId val="1230808863"/>
        <c:axId val="1224818639"/>
      </c:areaChart>
      <c:catAx>
        <c:axId val="12308088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818639"/>
        <c:crosses val="autoZero"/>
        <c:auto val="1"/>
        <c:lblAlgn val="ctr"/>
        <c:lblOffset val="100"/>
        <c:noMultiLvlLbl val="0"/>
      </c:catAx>
      <c:valAx>
        <c:axId val="1224818639"/>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808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5!PivotTable4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5'!$B$3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'DATA 5'!$A$4:$A$7</c:f>
              <c:strCache>
                <c:ptCount val="3"/>
                <c:pt idx="0">
                  <c:v>Jan</c:v>
                </c:pt>
                <c:pt idx="1">
                  <c:v>Feb</c:v>
                </c:pt>
                <c:pt idx="2">
                  <c:v>Mar</c:v>
                </c:pt>
              </c:strCache>
            </c:strRef>
          </c:cat>
          <c:val>
            <c:numRef>
              <c:f>'DATA 5'!$B$4:$B$7</c:f>
              <c:numCache>
                <c:formatCode>"₹"#,##0</c:formatCode>
                <c:ptCount val="3"/>
                <c:pt idx="0">
                  <c:v>312000</c:v>
                </c:pt>
                <c:pt idx="1">
                  <c:v>244000</c:v>
                </c:pt>
                <c:pt idx="2">
                  <c:v>258500</c:v>
                </c:pt>
              </c:numCache>
            </c:numRef>
          </c:val>
          <c:extLst>
            <c:ext xmlns:c16="http://schemas.microsoft.com/office/drawing/2014/chart" uri="{C3380CC4-5D6E-409C-BE32-E72D297353CC}">
              <c16:uniqueId val="{00000000-C037-41F3-AFD9-B6C4C34FC54F}"/>
            </c:ext>
          </c:extLst>
        </c:ser>
        <c:dLbls>
          <c:showLegendKey val="0"/>
          <c:showVal val="0"/>
          <c:showCatName val="0"/>
          <c:showSerName val="0"/>
          <c:showPercent val="0"/>
          <c:showBubbleSize val="0"/>
        </c:dLbls>
        <c:gapWidth val="150"/>
        <c:shape val="box"/>
        <c:axId val="1233979407"/>
        <c:axId val="1224899279"/>
        <c:axId val="0"/>
      </c:bar3DChart>
      <c:catAx>
        <c:axId val="1233979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4899279"/>
        <c:crosses val="autoZero"/>
        <c:auto val="1"/>
        <c:lblAlgn val="ctr"/>
        <c:lblOffset val="100"/>
        <c:noMultiLvlLbl val="0"/>
      </c:catAx>
      <c:valAx>
        <c:axId val="122489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397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Sheet.xlsx]DATA 6!PivotTable5</c:name>
    <c:fmtId val="3"/>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6'!$B$3:$B$4</c:f>
              <c:strCache>
                <c:ptCount val="1"/>
                <c:pt idx="0">
                  <c:v>Keyboard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6'!$A$5:$A$8</c:f>
              <c:strCache>
                <c:ptCount val="3"/>
                <c:pt idx="0">
                  <c:v>Customer Support</c:v>
                </c:pt>
                <c:pt idx="1">
                  <c:v>Sales</c:v>
                </c:pt>
                <c:pt idx="2">
                  <c:v>Technical Support</c:v>
                </c:pt>
              </c:strCache>
            </c:strRef>
          </c:cat>
          <c:val>
            <c:numRef>
              <c:f>'DATA 6'!$B$5:$B$8</c:f>
              <c:numCache>
                <c:formatCode>General</c:formatCode>
                <c:ptCount val="3"/>
                <c:pt idx="0">
                  <c:v>10</c:v>
                </c:pt>
                <c:pt idx="1">
                  <c:v>15</c:v>
                </c:pt>
                <c:pt idx="2">
                  <c:v>12</c:v>
                </c:pt>
              </c:numCache>
            </c:numRef>
          </c:val>
          <c:smooth val="0"/>
          <c:extLst>
            <c:ext xmlns:c16="http://schemas.microsoft.com/office/drawing/2014/chart" uri="{C3380CC4-5D6E-409C-BE32-E72D297353CC}">
              <c16:uniqueId val="{00000000-B63E-4BAD-BC18-0E075BA5C159}"/>
            </c:ext>
          </c:extLst>
        </c:ser>
        <c:ser>
          <c:idx val="1"/>
          <c:order val="1"/>
          <c:tx>
            <c:strRef>
              <c:f>'DATA 6'!$C$3:$C$4</c:f>
              <c:strCache>
                <c:ptCount val="1"/>
                <c:pt idx="0">
                  <c:v>Laptop</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'DATA 6'!$A$5:$A$8</c:f>
              <c:strCache>
                <c:ptCount val="3"/>
                <c:pt idx="0">
                  <c:v>Customer Support</c:v>
                </c:pt>
                <c:pt idx="1">
                  <c:v>Sales</c:v>
                </c:pt>
                <c:pt idx="2">
                  <c:v>Technical Support</c:v>
                </c:pt>
              </c:strCache>
            </c:strRef>
          </c:cat>
          <c:val>
            <c:numRef>
              <c:f>'DATA 6'!$C$5:$C$8</c:f>
              <c:numCache>
                <c:formatCode>General</c:formatCode>
                <c:ptCount val="3"/>
                <c:pt idx="0">
                  <c:v>4</c:v>
                </c:pt>
                <c:pt idx="1">
                  <c:v>2</c:v>
                </c:pt>
                <c:pt idx="2">
                  <c:v>5</c:v>
                </c:pt>
              </c:numCache>
            </c:numRef>
          </c:val>
          <c:smooth val="0"/>
          <c:extLst>
            <c:ext xmlns:c16="http://schemas.microsoft.com/office/drawing/2014/chart" uri="{C3380CC4-5D6E-409C-BE32-E72D297353CC}">
              <c16:uniqueId val="{00000001-B63E-4BAD-BC18-0E075BA5C159}"/>
            </c:ext>
          </c:extLst>
        </c:ser>
        <c:ser>
          <c:idx val="2"/>
          <c:order val="2"/>
          <c:tx>
            <c:strRef>
              <c:f>'DATA 6'!$D$3:$D$4</c:f>
              <c:strCache>
                <c:ptCount val="1"/>
                <c:pt idx="0">
                  <c:v>Monitor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'DATA 6'!$A$5:$A$8</c:f>
              <c:strCache>
                <c:ptCount val="3"/>
                <c:pt idx="0">
                  <c:v>Customer Support</c:v>
                </c:pt>
                <c:pt idx="1">
                  <c:v>Sales</c:v>
                </c:pt>
                <c:pt idx="2">
                  <c:v>Technical Support</c:v>
                </c:pt>
              </c:strCache>
            </c:strRef>
          </c:cat>
          <c:val>
            <c:numRef>
              <c:f>'DATA 6'!$D$5:$D$8</c:f>
              <c:numCache>
                <c:formatCode>General</c:formatCode>
                <c:ptCount val="3"/>
                <c:pt idx="0">
                  <c:v>7</c:v>
                </c:pt>
                <c:pt idx="1">
                  <c:v>11</c:v>
                </c:pt>
              </c:numCache>
            </c:numRef>
          </c:val>
          <c:smooth val="0"/>
          <c:extLst>
            <c:ext xmlns:c16="http://schemas.microsoft.com/office/drawing/2014/chart" uri="{C3380CC4-5D6E-409C-BE32-E72D297353CC}">
              <c16:uniqueId val="{00000002-B63E-4BAD-BC18-0E075BA5C159}"/>
            </c:ext>
          </c:extLst>
        </c:ser>
        <c:ser>
          <c:idx val="3"/>
          <c:order val="3"/>
          <c:tx>
            <c:strRef>
              <c:f>'DATA 6'!$E$3:$E$4</c:f>
              <c:strCache>
                <c:ptCount val="1"/>
                <c:pt idx="0">
                  <c:v>Mouse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'DATA 6'!$A$5:$A$8</c:f>
              <c:strCache>
                <c:ptCount val="3"/>
                <c:pt idx="0">
                  <c:v>Customer Support</c:v>
                </c:pt>
                <c:pt idx="1">
                  <c:v>Sales</c:v>
                </c:pt>
                <c:pt idx="2">
                  <c:v>Technical Support</c:v>
                </c:pt>
              </c:strCache>
            </c:strRef>
          </c:cat>
          <c:val>
            <c:numRef>
              <c:f>'DATA 6'!$E$5:$E$8</c:f>
              <c:numCache>
                <c:formatCode>General</c:formatCode>
                <c:ptCount val="3"/>
                <c:pt idx="0">
                  <c:v>20</c:v>
                </c:pt>
                <c:pt idx="1">
                  <c:v>40</c:v>
                </c:pt>
              </c:numCache>
            </c:numRef>
          </c:val>
          <c:smooth val="0"/>
          <c:extLst>
            <c:ext xmlns:c16="http://schemas.microsoft.com/office/drawing/2014/chart" uri="{C3380CC4-5D6E-409C-BE32-E72D297353CC}">
              <c16:uniqueId val="{00000003-B63E-4BAD-BC18-0E075BA5C159}"/>
            </c:ext>
          </c:extLst>
        </c:ser>
        <c:dLbls>
          <c:showLegendKey val="0"/>
          <c:showVal val="0"/>
          <c:showCatName val="0"/>
          <c:showSerName val="0"/>
          <c:showPercent val="0"/>
          <c:showBubbleSize val="0"/>
        </c:dLbls>
        <c:marker val="1"/>
        <c:smooth val="0"/>
        <c:axId val="1346974575"/>
        <c:axId val="1224915599"/>
      </c:lineChart>
      <c:catAx>
        <c:axId val="1346974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915599"/>
        <c:crosses val="autoZero"/>
        <c:auto val="1"/>
        <c:lblAlgn val="ctr"/>
        <c:lblOffset val="100"/>
        <c:noMultiLvlLbl val="0"/>
      </c:catAx>
      <c:valAx>
        <c:axId val="1224915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97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11</xdr:col>
      <xdr:colOff>466726</xdr:colOff>
      <xdr:row>5</xdr:row>
      <xdr:rowOff>66676</xdr:rowOff>
    </xdr:from>
    <xdr:to>
      <xdr:col>19</xdr:col>
      <xdr:colOff>504825</xdr:colOff>
      <xdr:row>32</xdr:row>
      <xdr:rowOff>114300</xdr:rowOff>
    </xdr:to>
    <xdr:graphicFrame macro="">
      <xdr:nvGraphicFramePr>
        <xdr:cNvPr id="3" name="Chart 2">
          <a:extLst>
            <a:ext uri="{FF2B5EF4-FFF2-40B4-BE49-F238E27FC236}">
              <a16:creationId xmlns:a16="http://schemas.microsoft.com/office/drawing/2014/main" id="{B6049D39-1C55-2AB1-D400-74D17D148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523875</xdr:colOff>
      <xdr:row>4</xdr:row>
      <xdr:rowOff>28575</xdr:rowOff>
    </xdr:from>
    <xdr:to>
      <xdr:col>11</xdr:col>
      <xdr:colOff>219075</xdr:colOff>
      <xdr:row>18</xdr:row>
      <xdr:rowOff>104775</xdr:rowOff>
    </xdr:to>
    <xdr:graphicFrame macro="">
      <xdr:nvGraphicFramePr>
        <xdr:cNvPr id="2" name="Chart 1">
          <a:extLst>
            <a:ext uri="{FF2B5EF4-FFF2-40B4-BE49-F238E27FC236}">
              <a16:creationId xmlns:a16="http://schemas.microsoft.com/office/drawing/2014/main" id="{B702C4C2-86C8-2381-AA63-906169AF8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3</xdr:row>
      <xdr:rowOff>19050</xdr:rowOff>
    </xdr:from>
    <xdr:to>
      <xdr:col>10</xdr:col>
      <xdr:colOff>409575</xdr:colOff>
      <xdr:row>17</xdr:row>
      <xdr:rowOff>95250</xdr:rowOff>
    </xdr:to>
    <xdr:graphicFrame macro="">
      <xdr:nvGraphicFramePr>
        <xdr:cNvPr id="3" name="Chart 2">
          <a:extLst>
            <a:ext uri="{FF2B5EF4-FFF2-40B4-BE49-F238E27FC236}">
              <a16:creationId xmlns:a16="http://schemas.microsoft.com/office/drawing/2014/main" id="{6C230580-DDD4-410A-BF7D-98AEA5049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104775</xdr:colOff>
      <xdr:row>3</xdr:row>
      <xdr:rowOff>38100</xdr:rowOff>
    </xdr:from>
    <xdr:to>
      <xdr:col>10</xdr:col>
      <xdr:colOff>409575</xdr:colOff>
      <xdr:row>17</xdr:row>
      <xdr:rowOff>114300</xdr:rowOff>
    </xdr:to>
    <xdr:graphicFrame macro="">
      <xdr:nvGraphicFramePr>
        <xdr:cNvPr id="3" name="Chart 2">
          <a:extLst>
            <a:ext uri="{FF2B5EF4-FFF2-40B4-BE49-F238E27FC236}">
              <a16:creationId xmlns:a16="http://schemas.microsoft.com/office/drawing/2014/main" id="{105EF5D8-A249-E020-BEB0-FAA65BF87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3</xdr:row>
      <xdr:rowOff>28575</xdr:rowOff>
    </xdr:from>
    <xdr:to>
      <xdr:col>10</xdr:col>
      <xdr:colOff>333375</xdr:colOff>
      <xdr:row>17</xdr:row>
      <xdr:rowOff>104775</xdr:rowOff>
    </xdr:to>
    <xdr:graphicFrame macro="">
      <xdr:nvGraphicFramePr>
        <xdr:cNvPr id="3" name="Chart 2">
          <a:extLst>
            <a:ext uri="{FF2B5EF4-FFF2-40B4-BE49-F238E27FC236}">
              <a16:creationId xmlns:a16="http://schemas.microsoft.com/office/drawing/2014/main" id="{8FF5D36A-4D47-37A5-79B3-79FF9D2E3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66675</xdr:colOff>
      <xdr:row>3</xdr:row>
      <xdr:rowOff>28575</xdr:rowOff>
    </xdr:from>
    <xdr:to>
      <xdr:col>10</xdr:col>
      <xdr:colOff>371475</xdr:colOff>
      <xdr:row>17</xdr:row>
      <xdr:rowOff>104775</xdr:rowOff>
    </xdr:to>
    <xdr:graphicFrame macro="">
      <xdr:nvGraphicFramePr>
        <xdr:cNvPr id="2" name="Chart 1">
          <a:extLst>
            <a:ext uri="{FF2B5EF4-FFF2-40B4-BE49-F238E27FC236}">
              <a16:creationId xmlns:a16="http://schemas.microsoft.com/office/drawing/2014/main" id="{1D1E1758-0544-F3E2-E5A0-6792C93E7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9525</xdr:colOff>
      <xdr:row>3</xdr:row>
      <xdr:rowOff>19050</xdr:rowOff>
    </xdr:from>
    <xdr:to>
      <xdr:col>14</xdr:col>
      <xdr:colOff>314325</xdr:colOff>
      <xdr:row>17</xdr:row>
      <xdr:rowOff>95250</xdr:rowOff>
    </xdr:to>
    <xdr:graphicFrame macro="">
      <xdr:nvGraphicFramePr>
        <xdr:cNvPr id="2" name="Chart 1">
          <a:extLst>
            <a:ext uri="{FF2B5EF4-FFF2-40B4-BE49-F238E27FC236}">
              <a16:creationId xmlns:a16="http://schemas.microsoft.com/office/drawing/2014/main" id="{6E28D8CB-253D-6F1F-6953-D05FFCF68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18</xdr:row>
      <xdr:rowOff>76200</xdr:rowOff>
    </xdr:to>
    <xdr:graphicFrame macro="">
      <xdr:nvGraphicFramePr>
        <xdr:cNvPr id="3" name="Chart 2">
          <a:extLst>
            <a:ext uri="{FF2B5EF4-FFF2-40B4-BE49-F238E27FC236}">
              <a16:creationId xmlns:a16="http://schemas.microsoft.com/office/drawing/2014/main" id="{E79A9D7C-EEEE-4FF5-B123-59EB6A569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4</xdr:row>
      <xdr:rowOff>0</xdr:rowOff>
    </xdr:from>
    <xdr:to>
      <xdr:col>16</xdr:col>
      <xdr:colOff>523875</xdr:colOff>
      <xdr:row>18</xdr:row>
      <xdr:rowOff>76200</xdr:rowOff>
    </xdr:to>
    <xdr:graphicFrame macro="">
      <xdr:nvGraphicFramePr>
        <xdr:cNvPr id="4" name="Chart 3">
          <a:extLst>
            <a:ext uri="{FF2B5EF4-FFF2-40B4-BE49-F238E27FC236}">
              <a16:creationId xmlns:a16="http://schemas.microsoft.com/office/drawing/2014/main" id="{E7C3F3C7-EC30-4FBC-A776-50BFF59A4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533400</xdr:colOff>
      <xdr:row>3</xdr:row>
      <xdr:rowOff>171450</xdr:rowOff>
    </xdr:from>
    <xdr:to>
      <xdr:col>25</xdr:col>
      <xdr:colOff>228600</xdr:colOff>
      <xdr:row>18</xdr:row>
      <xdr:rowOff>57150</xdr:rowOff>
    </xdr:to>
    <xdr:graphicFrame macro="">
      <xdr:nvGraphicFramePr>
        <xdr:cNvPr id="5" name="Chart 4">
          <a:extLst>
            <a:ext uri="{FF2B5EF4-FFF2-40B4-BE49-F238E27FC236}">
              <a16:creationId xmlns:a16="http://schemas.microsoft.com/office/drawing/2014/main" id="{4EDAD573-10E7-4E24-8C29-445789A88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21</xdr:row>
      <xdr:rowOff>9525</xdr:rowOff>
    </xdr:from>
    <xdr:to>
      <xdr:col>8</xdr:col>
      <xdr:colOff>323850</xdr:colOff>
      <xdr:row>35</xdr:row>
      <xdr:rowOff>85725</xdr:rowOff>
    </xdr:to>
    <xdr:graphicFrame macro="">
      <xdr:nvGraphicFramePr>
        <xdr:cNvPr id="6" name="Chart 5">
          <a:extLst>
            <a:ext uri="{FF2B5EF4-FFF2-40B4-BE49-F238E27FC236}">
              <a16:creationId xmlns:a16="http://schemas.microsoft.com/office/drawing/2014/main" id="{EAF70A73-D9B6-45D1-A2BF-C611DA322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219075</xdr:colOff>
      <xdr:row>20</xdr:row>
      <xdr:rowOff>171450</xdr:rowOff>
    </xdr:from>
    <xdr:to>
      <xdr:col>16</xdr:col>
      <xdr:colOff>523875</xdr:colOff>
      <xdr:row>35</xdr:row>
      <xdr:rowOff>57150</xdr:rowOff>
    </xdr:to>
    <xdr:graphicFrame macro="">
      <xdr:nvGraphicFramePr>
        <xdr:cNvPr id="7" name="Chart 6">
          <a:extLst>
            <a:ext uri="{FF2B5EF4-FFF2-40B4-BE49-F238E27FC236}">
              <a16:creationId xmlns:a16="http://schemas.microsoft.com/office/drawing/2014/main" id="{8D8A6D8D-E591-4CE5-A590-BDCFB8444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57150</xdr:colOff>
      <xdr:row>20</xdr:row>
      <xdr:rowOff>123825</xdr:rowOff>
    </xdr:from>
    <xdr:to>
      <xdr:col>25</xdr:col>
      <xdr:colOff>361950</xdr:colOff>
      <xdr:row>35</xdr:row>
      <xdr:rowOff>9525</xdr:rowOff>
    </xdr:to>
    <xdr:graphicFrame macro="">
      <xdr:nvGraphicFramePr>
        <xdr:cNvPr id="8" name="Chart 7">
          <a:extLst>
            <a:ext uri="{FF2B5EF4-FFF2-40B4-BE49-F238E27FC236}">
              <a16:creationId xmlns:a16="http://schemas.microsoft.com/office/drawing/2014/main" id="{D0E3B875-834B-4F11-8D57-22E4B1485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3" refreshedDate="46294.522773263889" createdVersion="8" refreshedVersion="8" minRefreshableVersion="3" recordCount="15" xr:uid="{C6836800-2775-4E61-9286-5C1D0030BBBE}">
  <cacheSource type="worksheet">
    <worksheetSource ref="A2:H17" sheet="DATA VALIDATION AND FILTER_x0009__x0009__x0009__x0009__x0009_"/>
  </cacheSource>
  <cacheFields count="10">
    <cacheField name="Date" numFmtId="166">
      <sharedItems containsSemiMixedTypes="0" containsNonDate="0" containsDate="1" containsString="0" minDate="2026-01-05T00:00:00" maxDate="2026-03-23T00:00:00" count="15">
        <d v="2026-01-05T00:00:00"/>
        <d v="2026-01-08T00:00:00"/>
        <d v="2026-01-12T00:00:00"/>
        <d v="2026-01-15T00:00:00"/>
        <d v="2026-01-20T00:00:00"/>
        <d v="2026-02-03T00:00:00"/>
        <d v="2026-02-07T00:00:00"/>
        <d v="2026-02-11T00:00:00"/>
        <d v="2026-02-18T00:00:00"/>
        <d v="2026-02-24T00:00:00"/>
        <d v="2026-03-04T00:00:00"/>
        <d v="2026-03-09T00:00:00"/>
        <d v="2026-03-13T00:00:00"/>
        <d v="2026-03-17T00:00:00"/>
        <d v="2026-03-22T00:00:00"/>
      </sharedItems>
      <fieldGroup par="9"/>
    </cacheField>
    <cacheField name="Employee" numFmtId="0">
      <sharedItems count="5">
        <s v="Asha"/>
        <s v="Ravi"/>
        <s v="Priya"/>
        <s v="Kiran"/>
        <s v="Meena"/>
      </sharedItems>
    </cacheField>
    <cacheField name="Department" numFmtId="0">
      <sharedItems count="3">
        <s v="Customer Support"/>
        <s v="Sales"/>
        <s v="Technical Support"/>
      </sharedItems>
    </cacheField>
    <cacheField name="Location" numFmtId="0">
      <sharedItems count="3">
        <s v="Chennai"/>
        <s v="Bangalore"/>
        <s v="Hyderabad"/>
      </sharedItems>
    </cacheField>
    <cacheField name="Product" numFmtId="0">
      <sharedItems count="4">
        <s v="Laptop"/>
        <s v="Monitor"/>
        <s v="Keyboard"/>
        <s v="Mouse"/>
      </sharedItems>
    </cacheField>
    <cacheField name="Quantity" numFmtId="0">
      <sharedItems containsSemiMixedTypes="0" containsString="0" containsNumber="1" containsInteger="1" minValue="1" maxValue="25" count="11">
        <n v="3"/>
        <n v="5"/>
        <n v="10"/>
        <n v="2"/>
        <n v="15"/>
        <n v="4"/>
        <n v="20"/>
        <n v="12"/>
        <n v="6"/>
        <n v="1"/>
        <n v="25"/>
      </sharedItems>
    </cacheField>
    <cacheField name="Unit Price" numFmtId="167">
      <sharedItems containsSemiMixedTypes="0" containsString="0" containsNumber="1" containsInteger="1" minValue="800" maxValue="45000" count="4">
        <n v="45000"/>
        <n v="12000"/>
        <n v="1500"/>
        <n v="800"/>
      </sharedItems>
    </cacheField>
    <cacheField name="Sales Amount" numFmtId="167">
      <sharedItems containsSemiMixedTypes="0" containsString="0" containsNumber="1" containsInteger="1" minValue="12000" maxValue="135000"/>
    </cacheField>
    <cacheField name="Days (Date)" numFmtId="0" databaseField="0">
      <fieldGroup base="0">
        <rangePr groupBy="days" startDate="2026-01-05T00:00:00" endDate="2026-03-23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6"/>
        </groupItems>
      </fieldGroup>
    </cacheField>
    <cacheField name="Months (Date)" numFmtId="0" databaseField="0">
      <fieldGroup base="0">
        <rangePr groupBy="months" startDate="2026-01-05T00:00:00" endDate="2026-03-23T00:00:00"/>
        <groupItems count="14">
          <s v="&lt;05-01-2026"/>
          <s v="Jan"/>
          <s v="Feb"/>
          <s v="Mar"/>
          <s v="Apr"/>
          <s v="May"/>
          <s v="Jun"/>
          <s v="Jul"/>
          <s v="Aug"/>
          <s v="Sep"/>
          <s v="Oct"/>
          <s v="Nov"/>
          <s v="Dec"/>
          <s v="&gt;23-0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3" refreshedDate="46295.482548032407" createdVersion="8" refreshedVersion="8" minRefreshableVersion="3" recordCount="15" xr:uid="{09AC5C83-1644-47E6-8054-B336819778C6}">
  <cacheSource type="worksheet">
    <worksheetSource ref="A2:H17" sheet="SALES DATA_x0009__x0009__x0009__x0009__x0009__x0009__x0009_"/>
  </cacheSource>
  <cacheFields count="10">
    <cacheField name="Date" numFmtId="166">
      <sharedItems containsSemiMixedTypes="0" containsNonDate="0" containsDate="1" containsString="0" minDate="2026-01-05T00:00:00" maxDate="2026-03-23T00:00:00" count="15">
        <d v="2026-01-05T00:00:00"/>
        <d v="2026-01-08T00:00:00"/>
        <d v="2026-01-12T00:00:00"/>
        <d v="2026-01-15T00:00:00"/>
        <d v="2026-01-20T00:00:00"/>
        <d v="2026-02-03T00:00:00"/>
        <d v="2026-02-07T00:00:00"/>
        <d v="2026-02-11T00:00:00"/>
        <d v="2026-02-18T00:00:00"/>
        <d v="2026-02-24T00:00:00"/>
        <d v="2026-03-04T00:00:00"/>
        <d v="2026-03-09T00:00:00"/>
        <d v="2026-03-13T00:00:00"/>
        <d v="2026-03-17T00:00:00"/>
        <d v="2026-03-22T00:00:00"/>
      </sharedItems>
      <fieldGroup par="9"/>
    </cacheField>
    <cacheField name="Employee" numFmtId="0">
      <sharedItems count="5">
        <s v="Asha"/>
        <s v="Ravi"/>
        <s v="Priya"/>
        <s v="Kiran"/>
        <s v="Meena"/>
      </sharedItems>
    </cacheField>
    <cacheField name="Department" numFmtId="0">
      <sharedItems count="3">
        <s v="Customer Support"/>
        <s v="Sales"/>
        <s v="Technical Support"/>
      </sharedItems>
    </cacheField>
    <cacheField name="Location" numFmtId="0">
      <sharedItems count="3">
        <s v="Chennai"/>
        <s v="Bangalore"/>
        <s v="Hyderabad"/>
      </sharedItems>
    </cacheField>
    <cacheField name="Product" numFmtId="0">
      <sharedItems count="4">
        <s v="Laptop"/>
        <s v="Monitor"/>
        <s v="Keyboard"/>
        <s v="Mouse"/>
      </sharedItems>
    </cacheField>
    <cacheField name="Quantity" numFmtId="0">
      <sharedItems containsSemiMixedTypes="0" containsString="0" containsNumber="1" containsInteger="1" minValue="1" maxValue="25"/>
    </cacheField>
    <cacheField name="Unit Price" numFmtId="167">
      <sharedItems containsSemiMixedTypes="0" containsString="0" containsNumber="1" containsInteger="1" minValue="800" maxValue="45000"/>
    </cacheField>
    <cacheField name="Sales Amount" numFmtId="167">
      <sharedItems containsSemiMixedTypes="0" containsString="0" containsNumber="1" containsInteger="1" minValue="12000" maxValue="135000"/>
    </cacheField>
    <cacheField name="Days (Date)" numFmtId="0" databaseField="0">
      <fieldGroup base="0">
        <rangePr groupBy="days" startDate="2026-01-05T00:00:00" endDate="2026-03-23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6"/>
        </groupItems>
      </fieldGroup>
    </cacheField>
    <cacheField name="Months (Date)" numFmtId="0" databaseField="0">
      <fieldGroup base="0">
        <rangePr groupBy="months" startDate="2026-01-05T00:00:00" endDate="2026-03-23T00:00:00"/>
        <groupItems count="14">
          <s v="&lt;05-01-2026"/>
          <s v="Jan"/>
          <s v="Feb"/>
          <s v="Mar"/>
          <s v="Apr"/>
          <s v="May"/>
          <s v="Jun"/>
          <s v="Jul"/>
          <s v="Aug"/>
          <s v="Sep"/>
          <s v="Oct"/>
          <s v="Nov"/>
          <s v="Dec"/>
          <s v="&gt;23-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x v="0"/>
    <x v="0"/>
    <n v="135000"/>
  </r>
  <r>
    <x v="1"/>
    <x v="1"/>
    <x v="1"/>
    <x v="1"/>
    <x v="1"/>
    <x v="1"/>
    <x v="1"/>
    <n v="60000"/>
  </r>
  <r>
    <x v="2"/>
    <x v="2"/>
    <x v="0"/>
    <x v="0"/>
    <x v="2"/>
    <x v="2"/>
    <x v="2"/>
    <n v="15000"/>
  </r>
  <r>
    <x v="3"/>
    <x v="3"/>
    <x v="2"/>
    <x v="2"/>
    <x v="0"/>
    <x v="3"/>
    <x v="0"/>
    <n v="90000"/>
  </r>
  <r>
    <x v="4"/>
    <x v="4"/>
    <x v="1"/>
    <x v="0"/>
    <x v="3"/>
    <x v="4"/>
    <x v="3"/>
    <n v="12000"/>
  </r>
  <r>
    <x v="5"/>
    <x v="0"/>
    <x v="0"/>
    <x v="1"/>
    <x v="1"/>
    <x v="5"/>
    <x v="1"/>
    <n v="48000"/>
  </r>
  <r>
    <x v="6"/>
    <x v="1"/>
    <x v="1"/>
    <x v="0"/>
    <x v="0"/>
    <x v="3"/>
    <x v="0"/>
    <n v="90000"/>
  </r>
  <r>
    <x v="7"/>
    <x v="2"/>
    <x v="0"/>
    <x v="2"/>
    <x v="3"/>
    <x v="6"/>
    <x v="3"/>
    <n v="16000"/>
  </r>
  <r>
    <x v="8"/>
    <x v="3"/>
    <x v="2"/>
    <x v="1"/>
    <x v="2"/>
    <x v="7"/>
    <x v="2"/>
    <n v="18000"/>
  </r>
  <r>
    <x v="9"/>
    <x v="4"/>
    <x v="1"/>
    <x v="2"/>
    <x v="1"/>
    <x v="8"/>
    <x v="1"/>
    <n v="72000"/>
  </r>
  <r>
    <x v="10"/>
    <x v="0"/>
    <x v="0"/>
    <x v="0"/>
    <x v="0"/>
    <x v="9"/>
    <x v="0"/>
    <n v="45000"/>
  </r>
  <r>
    <x v="11"/>
    <x v="1"/>
    <x v="1"/>
    <x v="1"/>
    <x v="3"/>
    <x v="10"/>
    <x v="3"/>
    <n v="20000"/>
  </r>
  <r>
    <x v="12"/>
    <x v="2"/>
    <x v="0"/>
    <x v="0"/>
    <x v="1"/>
    <x v="0"/>
    <x v="1"/>
    <n v="36000"/>
  </r>
  <r>
    <x v="13"/>
    <x v="3"/>
    <x v="2"/>
    <x v="2"/>
    <x v="0"/>
    <x v="0"/>
    <x v="0"/>
    <n v="135000"/>
  </r>
  <r>
    <x v="14"/>
    <x v="4"/>
    <x v="1"/>
    <x v="0"/>
    <x v="2"/>
    <x v="4"/>
    <x v="2"/>
    <n v="22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n v="3"/>
    <n v="45000"/>
    <n v="135000"/>
  </r>
  <r>
    <x v="1"/>
    <x v="1"/>
    <x v="1"/>
    <x v="1"/>
    <x v="1"/>
    <n v="5"/>
    <n v="12000"/>
    <n v="60000"/>
  </r>
  <r>
    <x v="2"/>
    <x v="2"/>
    <x v="0"/>
    <x v="0"/>
    <x v="2"/>
    <n v="10"/>
    <n v="1500"/>
    <n v="15000"/>
  </r>
  <r>
    <x v="3"/>
    <x v="3"/>
    <x v="2"/>
    <x v="2"/>
    <x v="0"/>
    <n v="2"/>
    <n v="45000"/>
    <n v="90000"/>
  </r>
  <r>
    <x v="4"/>
    <x v="4"/>
    <x v="1"/>
    <x v="0"/>
    <x v="3"/>
    <n v="15"/>
    <n v="800"/>
    <n v="12000"/>
  </r>
  <r>
    <x v="5"/>
    <x v="0"/>
    <x v="0"/>
    <x v="1"/>
    <x v="1"/>
    <n v="4"/>
    <n v="12000"/>
    <n v="48000"/>
  </r>
  <r>
    <x v="6"/>
    <x v="1"/>
    <x v="1"/>
    <x v="0"/>
    <x v="0"/>
    <n v="2"/>
    <n v="45000"/>
    <n v="90000"/>
  </r>
  <r>
    <x v="7"/>
    <x v="2"/>
    <x v="0"/>
    <x v="2"/>
    <x v="3"/>
    <n v="20"/>
    <n v="800"/>
    <n v="16000"/>
  </r>
  <r>
    <x v="8"/>
    <x v="3"/>
    <x v="2"/>
    <x v="1"/>
    <x v="2"/>
    <n v="12"/>
    <n v="1500"/>
    <n v="18000"/>
  </r>
  <r>
    <x v="9"/>
    <x v="4"/>
    <x v="1"/>
    <x v="2"/>
    <x v="1"/>
    <n v="6"/>
    <n v="12000"/>
    <n v="72000"/>
  </r>
  <r>
    <x v="10"/>
    <x v="0"/>
    <x v="0"/>
    <x v="0"/>
    <x v="0"/>
    <n v="1"/>
    <n v="45000"/>
    <n v="45000"/>
  </r>
  <r>
    <x v="11"/>
    <x v="1"/>
    <x v="1"/>
    <x v="1"/>
    <x v="3"/>
    <n v="25"/>
    <n v="800"/>
    <n v="20000"/>
  </r>
  <r>
    <x v="12"/>
    <x v="2"/>
    <x v="0"/>
    <x v="0"/>
    <x v="1"/>
    <n v="3"/>
    <n v="12000"/>
    <n v="36000"/>
  </r>
  <r>
    <x v="13"/>
    <x v="3"/>
    <x v="2"/>
    <x v="2"/>
    <x v="0"/>
    <n v="3"/>
    <n v="45000"/>
    <n v="135000"/>
  </r>
  <r>
    <x v="14"/>
    <x v="4"/>
    <x v="1"/>
    <x v="0"/>
    <x v="2"/>
    <n v="15"/>
    <n v="1500"/>
    <n v="2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0CB18-7F6C-4F37-B963-0097F55F9E33}"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
  <location ref="A4:K36" firstHeaderRow="0" firstDataRow="2" firstDataCol="1"/>
  <pivotFields count="10">
    <pivotField axis="axisRow" numFmtId="166" showAll="0">
      <items count="16">
        <item x="0"/>
        <item x="1"/>
        <item x="2"/>
        <item x="3"/>
        <item x="4"/>
        <item x="5"/>
        <item x="6"/>
        <item x="7"/>
        <item x="8"/>
        <item x="9"/>
        <item x="10"/>
        <item x="11"/>
        <item x="12"/>
        <item x="13"/>
        <item x="14"/>
        <item t="default"/>
      </items>
    </pivotField>
    <pivotField multipleItemSelectionAllowed="1" showAll="0">
      <items count="6">
        <item x="0"/>
        <item x="3"/>
        <item x="4"/>
        <item x="2"/>
        <item x="1"/>
        <item t="default"/>
      </items>
    </pivotField>
    <pivotField axis="axisRow" showAll="0">
      <items count="4">
        <item x="0"/>
        <item x="1"/>
        <item x="2"/>
        <item t="default"/>
      </items>
    </pivotField>
    <pivotField showAll="0">
      <items count="4">
        <item x="1"/>
        <item x="0"/>
        <item x="2"/>
        <item t="default"/>
      </items>
    </pivotField>
    <pivotField axis="axisCol" showAll="0">
      <items count="5">
        <item x="2"/>
        <item x="0"/>
        <item x="1"/>
        <item x="3"/>
        <item t="default"/>
      </items>
    </pivotField>
    <pivotField showAll="0">
      <items count="12">
        <item x="9"/>
        <item x="3"/>
        <item x="0"/>
        <item x="5"/>
        <item x="1"/>
        <item x="8"/>
        <item x="2"/>
        <item x="7"/>
        <item x="4"/>
        <item x="6"/>
        <item x="10"/>
        <item t="default"/>
      </items>
    </pivotField>
    <pivotField dataField="1" numFmtId="167" showAll="0"/>
    <pivotField dataField="1" numFmtId="167"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0"/>
    <field x="2"/>
  </rowFields>
  <rowItems count="31">
    <i>
      <x/>
    </i>
    <i r="1">
      <x/>
    </i>
    <i>
      <x v="1"/>
    </i>
    <i r="1">
      <x v="1"/>
    </i>
    <i>
      <x v="2"/>
    </i>
    <i r="1">
      <x/>
    </i>
    <i>
      <x v="3"/>
    </i>
    <i r="1">
      <x v="2"/>
    </i>
    <i>
      <x v="4"/>
    </i>
    <i r="1">
      <x v="1"/>
    </i>
    <i>
      <x v="5"/>
    </i>
    <i r="1">
      <x/>
    </i>
    <i>
      <x v="6"/>
    </i>
    <i r="1">
      <x v="1"/>
    </i>
    <i>
      <x v="7"/>
    </i>
    <i r="1">
      <x/>
    </i>
    <i>
      <x v="8"/>
    </i>
    <i r="1">
      <x v="2"/>
    </i>
    <i>
      <x v="9"/>
    </i>
    <i r="1">
      <x v="1"/>
    </i>
    <i>
      <x v="10"/>
    </i>
    <i r="1">
      <x/>
    </i>
    <i>
      <x v="11"/>
    </i>
    <i r="1">
      <x v="1"/>
    </i>
    <i>
      <x v="12"/>
    </i>
    <i r="1">
      <x/>
    </i>
    <i>
      <x v="13"/>
    </i>
    <i r="1">
      <x v="2"/>
    </i>
    <i>
      <x v="14"/>
    </i>
    <i r="1">
      <x v="1"/>
    </i>
    <i t="grand">
      <x/>
    </i>
  </rowItems>
  <colFields count="2">
    <field x="-2"/>
    <field x="4"/>
  </colFields>
  <colItems count="10">
    <i>
      <x/>
      <x/>
    </i>
    <i r="1">
      <x v="1"/>
    </i>
    <i r="1">
      <x v="2"/>
    </i>
    <i r="1">
      <x v="3"/>
    </i>
    <i i="1">
      <x v="1"/>
      <x/>
    </i>
    <i r="1" i="1">
      <x v="1"/>
    </i>
    <i r="1" i="1">
      <x v="2"/>
    </i>
    <i r="1" i="1">
      <x v="3"/>
    </i>
    <i t="grand">
      <x/>
    </i>
    <i t="grand" i="1">
      <x/>
    </i>
  </colItems>
  <dataFields count="2">
    <dataField name="Sum of Unit Price" fld="6" baseField="0" baseItem="0" numFmtId="167"/>
    <dataField name="Sum of Sales Amount" fld="7" baseField="0" baseItem="0" numFmtId="167"/>
  </dataFields>
  <formats count="22">
    <format dxfId="21">
      <pivotArea type="all" dataOnly="0" outline="0" fieldPosition="0"/>
    </format>
    <format dxfId="20">
      <pivotArea outline="0" collapsedLevelsAreSubtotals="1"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fieldPosition="0">
        <references count="2">
          <reference field="0" count="1" selected="0">
            <x v="0"/>
          </reference>
          <reference field="2" count="1">
            <x v="0"/>
          </reference>
        </references>
      </pivotArea>
    </format>
    <format dxfId="16">
      <pivotArea dataOnly="0" labelOnly="1" fieldPosition="0">
        <references count="2">
          <reference field="0" count="1" selected="0">
            <x v="1"/>
          </reference>
          <reference field="2" count="1">
            <x v="1"/>
          </reference>
        </references>
      </pivotArea>
    </format>
    <format dxfId="15">
      <pivotArea dataOnly="0" labelOnly="1" fieldPosition="0">
        <references count="2">
          <reference field="0" count="1" selected="0">
            <x v="2"/>
          </reference>
          <reference field="2" count="1">
            <x v="0"/>
          </reference>
        </references>
      </pivotArea>
    </format>
    <format dxfId="14">
      <pivotArea dataOnly="0" labelOnly="1" fieldPosition="0">
        <references count="2">
          <reference field="0" count="1" selected="0">
            <x v="3"/>
          </reference>
          <reference field="2" count="1">
            <x v="2"/>
          </reference>
        </references>
      </pivotArea>
    </format>
    <format dxfId="13">
      <pivotArea dataOnly="0" labelOnly="1" fieldPosition="0">
        <references count="2">
          <reference field="0" count="1" selected="0">
            <x v="4"/>
          </reference>
          <reference field="2" count="1">
            <x v="1"/>
          </reference>
        </references>
      </pivotArea>
    </format>
    <format dxfId="12">
      <pivotArea dataOnly="0" labelOnly="1" fieldPosition="0">
        <references count="2">
          <reference field="0" count="1" selected="0">
            <x v="5"/>
          </reference>
          <reference field="2" count="1">
            <x v="0"/>
          </reference>
        </references>
      </pivotArea>
    </format>
    <format dxfId="11">
      <pivotArea dataOnly="0" labelOnly="1" fieldPosition="0">
        <references count="2">
          <reference field="0" count="1" selected="0">
            <x v="6"/>
          </reference>
          <reference field="2" count="1">
            <x v="1"/>
          </reference>
        </references>
      </pivotArea>
    </format>
    <format dxfId="10">
      <pivotArea dataOnly="0" labelOnly="1" fieldPosition="0">
        <references count="2">
          <reference field="0" count="1" selected="0">
            <x v="7"/>
          </reference>
          <reference field="2" count="1">
            <x v="0"/>
          </reference>
        </references>
      </pivotArea>
    </format>
    <format dxfId="9">
      <pivotArea dataOnly="0" labelOnly="1" fieldPosition="0">
        <references count="2">
          <reference field="0" count="1" selected="0">
            <x v="8"/>
          </reference>
          <reference field="2" count="1">
            <x v="2"/>
          </reference>
        </references>
      </pivotArea>
    </format>
    <format dxfId="8">
      <pivotArea dataOnly="0" labelOnly="1" fieldPosition="0">
        <references count="2">
          <reference field="0" count="1" selected="0">
            <x v="9"/>
          </reference>
          <reference field="2" count="1">
            <x v="1"/>
          </reference>
        </references>
      </pivotArea>
    </format>
    <format dxfId="7">
      <pivotArea dataOnly="0" labelOnly="1" fieldPosition="0">
        <references count="2">
          <reference field="0" count="1" selected="0">
            <x v="10"/>
          </reference>
          <reference field="2" count="1">
            <x v="0"/>
          </reference>
        </references>
      </pivotArea>
    </format>
    <format dxfId="6">
      <pivotArea dataOnly="0" labelOnly="1" fieldPosition="0">
        <references count="2">
          <reference field="0" count="1" selected="0">
            <x v="11"/>
          </reference>
          <reference field="2" count="1">
            <x v="1"/>
          </reference>
        </references>
      </pivotArea>
    </format>
    <format dxfId="5">
      <pivotArea dataOnly="0" labelOnly="1" fieldPosition="0">
        <references count="2">
          <reference field="0" count="1" selected="0">
            <x v="12"/>
          </reference>
          <reference field="2" count="1">
            <x v="0"/>
          </reference>
        </references>
      </pivotArea>
    </format>
    <format dxfId="4">
      <pivotArea dataOnly="0" labelOnly="1" fieldPosition="0">
        <references count="2">
          <reference field="0" count="1" selected="0">
            <x v="13"/>
          </reference>
          <reference field="2" count="1">
            <x v="2"/>
          </reference>
        </references>
      </pivotArea>
    </format>
    <format dxfId="3">
      <pivotArea dataOnly="0" labelOnly="1" fieldPosition="0">
        <references count="2">
          <reference field="0" count="1" selected="0">
            <x v="14"/>
          </reference>
          <reference field="2" count="1">
            <x v="1"/>
          </reference>
        </references>
      </pivotArea>
    </format>
    <format dxfId="2">
      <pivotArea dataOnly="0" labelOnly="1" outline="0" fieldPosition="0">
        <references count="1">
          <reference field="4294967294" count="2">
            <x v="0"/>
            <x v="1"/>
          </reference>
        </references>
      </pivotArea>
    </format>
    <format dxfId="1">
      <pivotArea field="4" dataOnly="0" labelOnly="1" grandCol="1" outline="0" axis="axisCol" fieldPosition="1">
        <references count="1">
          <reference field="4294967294" count="1" selected="0">
            <x v="0"/>
          </reference>
        </references>
      </pivotArea>
    </format>
    <format dxfId="0">
      <pivotArea field="4" dataOnly="0" labelOnly="1" grandCol="1" outline="0" axis="axisCol" fieldPosition="1">
        <references count="1">
          <reference field="4294967294" count="1" selected="0">
            <x v="1"/>
          </reference>
        </references>
      </pivotArea>
    </format>
  </formats>
  <chartFormats count="10">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16" series="1">
      <pivotArea type="data" outline="0" fieldPosition="0">
        <references count="2">
          <reference field="4294967294" count="1" selected="0">
            <x v="0"/>
          </reference>
          <reference field="4" count="1" selected="0">
            <x v="2"/>
          </reference>
        </references>
      </pivotArea>
    </chartFormat>
    <chartFormat chart="2" format="17" series="1">
      <pivotArea type="data" outline="0" fieldPosition="0">
        <references count="2">
          <reference field="4294967294" count="1" selected="0">
            <x v="0"/>
          </reference>
          <reference field="4" count="1" selected="0">
            <x v="3"/>
          </reference>
        </references>
      </pivotArea>
    </chartFormat>
    <chartFormat chart="2" format="18" series="1">
      <pivotArea type="data" outline="0" fieldPosition="0">
        <references count="2">
          <reference field="4294967294" count="1" selected="0">
            <x v="1"/>
          </reference>
          <reference field="4" count="1" selected="0">
            <x v="0"/>
          </reference>
        </references>
      </pivotArea>
    </chartFormat>
    <chartFormat chart="2" format="19" series="1">
      <pivotArea type="data" outline="0" fieldPosition="0">
        <references count="2">
          <reference field="4294967294" count="1" selected="0">
            <x v="1"/>
          </reference>
          <reference field="4" count="1" selected="0">
            <x v="1"/>
          </reference>
        </references>
      </pivotArea>
    </chartFormat>
    <chartFormat chart="2" format="20" series="1">
      <pivotArea type="data" outline="0" fieldPosition="0">
        <references count="2">
          <reference field="4294967294" count="1" selected="0">
            <x v="1"/>
          </reference>
          <reference field="4" count="1" selected="0">
            <x v="2"/>
          </reference>
        </references>
      </pivotArea>
    </chartFormat>
    <chartFormat chart="2" format="21" series="1">
      <pivotArea type="data" outline="0" fieldPosition="0">
        <references count="2">
          <reference field="4294967294" count="1" selected="0">
            <x v="1"/>
          </reference>
          <reference field="4" count="1" selected="0">
            <x v="3"/>
          </reference>
        </references>
      </pivotArea>
    </chartFormat>
    <chartFormat chart="2" format="22" series="1">
      <pivotArea type="data" outline="0" fieldPosition="0">
        <references count="2">
          <reference field="4294967294" count="1" selected="0">
            <x v="0"/>
          </reference>
          <reference field="4" count="1" selected="0">
            <x v="0"/>
          </reference>
        </references>
      </pivotArea>
    </chartFormat>
    <chartFormat chart="2" format="2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47307-F7EA-4CE2-9163-3422849274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0">
    <pivotField numFmtId="166" showAll="0">
      <items count="16">
        <item x="0"/>
        <item x="1"/>
        <item x="2"/>
        <item x="3"/>
        <item x="4"/>
        <item x="5"/>
        <item x="6"/>
        <item x="7"/>
        <item x="8"/>
        <item x="9"/>
        <item x="10"/>
        <item x="11"/>
        <item x="12"/>
        <item x="13"/>
        <item x="14"/>
        <item t="default"/>
      </items>
    </pivotField>
    <pivotField showAll="0"/>
    <pivotField axis="axisRow" showAll="0">
      <items count="4">
        <item x="0"/>
        <item x="1"/>
        <item x="2"/>
        <item t="default"/>
      </items>
    </pivotField>
    <pivotField showAll="0"/>
    <pivotField showAll="0"/>
    <pivotField showAll="0"/>
    <pivotField numFmtId="167" showAll="0"/>
    <pivotField dataField="1"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Amount" fld="7" baseField="0" baseItem="0" numFmtId="167"/>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FB9A6-9F52-4561-B5C0-296B77CDE5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numFmtId="166" showAll="0">
      <items count="16">
        <item x="0"/>
        <item x="1"/>
        <item x="2"/>
        <item x="3"/>
        <item x="4"/>
        <item x="5"/>
        <item x="6"/>
        <item x="7"/>
        <item x="8"/>
        <item x="9"/>
        <item x="10"/>
        <item x="11"/>
        <item x="12"/>
        <item x="13"/>
        <item x="14"/>
        <item t="default"/>
      </items>
    </pivotField>
    <pivotField showAll="0"/>
    <pivotField showAll="0"/>
    <pivotField showAll="0"/>
    <pivotField axis="axisRow" showAll="0">
      <items count="5">
        <item x="2"/>
        <item x="0"/>
        <item x="1"/>
        <item x="3"/>
        <item t="default"/>
      </items>
    </pivotField>
    <pivotField showAll="0"/>
    <pivotField numFmtId="167" showAll="0"/>
    <pivotField dataField="1"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Amount" fld="7" baseField="0" baseItem="0" numFmtId="167"/>
  </dataFields>
  <chartFormats count="10">
    <chartFormat chart="3"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28ED77-C3B8-4648-AAEB-8D1247A981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0">
    <pivotField numFmtId="166" showAll="0">
      <items count="16">
        <item x="0"/>
        <item x="1"/>
        <item x="2"/>
        <item x="3"/>
        <item x="4"/>
        <item x="5"/>
        <item x="6"/>
        <item x="7"/>
        <item x="8"/>
        <item x="9"/>
        <item x="10"/>
        <item x="11"/>
        <item x="12"/>
        <item x="13"/>
        <item x="14"/>
        <item t="default"/>
      </items>
    </pivotField>
    <pivotField showAll="0"/>
    <pivotField showAll="0"/>
    <pivotField axis="axisRow" showAll="0">
      <items count="4">
        <item x="1"/>
        <item x="0"/>
        <item x="2"/>
        <item t="default"/>
      </items>
    </pivotField>
    <pivotField showAll="0"/>
    <pivotField dataField="1" showAll="0"/>
    <pivotField numFmtId="167" showAll="0"/>
    <pivotField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Quantity" fld="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CAA68C-F003-4250-9DA4-8775DA77B8A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numFmtId="166" showAll="0">
      <items count="16">
        <item x="0"/>
        <item x="1"/>
        <item x="2"/>
        <item x="3"/>
        <item x="4"/>
        <item x="5"/>
        <item x="6"/>
        <item x="7"/>
        <item x="8"/>
        <item x="9"/>
        <item x="10"/>
        <item x="11"/>
        <item x="12"/>
        <item x="13"/>
        <item x="14"/>
        <item t="default"/>
      </items>
    </pivotField>
    <pivotField axis="axisRow" showAll="0">
      <items count="6">
        <item x="0"/>
        <item x="3"/>
        <item x="4"/>
        <item x="2"/>
        <item x="1"/>
        <item t="default"/>
      </items>
    </pivotField>
    <pivotField showAll="0"/>
    <pivotField showAll="0"/>
    <pivotField showAll="0"/>
    <pivotField showAll="0"/>
    <pivotField numFmtId="167" showAll="0"/>
    <pivotField dataField="1"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Sales Amount" fld="7" baseField="0" baseItem="0" numFmtId="167"/>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30FD9-8390-4D0A-991D-402F2B7B9DB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numFmtId="166"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numFmtId="167" showAll="0"/>
    <pivotField dataField="1" numFmtId="167"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8"/>
  </rowFields>
  <rowItems count="4">
    <i>
      <x v="1"/>
    </i>
    <i>
      <x v="2"/>
    </i>
    <i>
      <x v="3"/>
    </i>
    <i t="grand">
      <x/>
    </i>
  </rowItems>
  <colItems count="1">
    <i/>
  </colItems>
  <dataFields count="1">
    <dataField name="Sum of Sales Amount" fld="7" baseField="0"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91C4ED-B567-4853-A7DE-756EB975FCF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0">
    <pivotField numFmtId="166" showAll="0">
      <items count="16">
        <item x="0"/>
        <item x="1"/>
        <item x="2"/>
        <item x="3"/>
        <item x="4"/>
        <item x="5"/>
        <item x="6"/>
        <item x="7"/>
        <item x="8"/>
        <item x="9"/>
        <item x="10"/>
        <item x="11"/>
        <item x="12"/>
        <item x="13"/>
        <item x="14"/>
        <item t="default"/>
      </items>
    </pivotField>
    <pivotField showAll="0"/>
    <pivotField axis="axisRow" showAll="0">
      <items count="4">
        <item x="0"/>
        <item x="1"/>
        <item x="2"/>
        <item t="default"/>
      </items>
    </pivotField>
    <pivotField showAll="0"/>
    <pivotField axis="axisCol" showAll="0">
      <items count="5">
        <item x="2"/>
        <item x="0"/>
        <item x="1"/>
        <item x="3"/>
        <item t="default"/>
      </items>
    </pivotField>
    <pivotField dataField="1" showAll="0"/>
    <pivotField numFmtId="167" showAll="0"/>
    <pivotField numFmtId="167"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4"/>
  </colFields>
  <colItems count="5">
    <i>
      <x/>
    </i>
    <i>
      <x v="1"/>
    </i>
    <i>
      <x v="2"/>
    </i>
    <i>
      <x v="3"/>
    </i>
    <i t="grand">
      <x/>
    </i>
  </colItems>
  <dataFields count="1">
    <dataField name="Sum of Quantity" fld="5"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0915-894F-41DB-ABD4-72EF53081B74}">
  <dimension ref="A1:G16"/>
  <sheetViews>
    <sheetView workbookViewId="0">
      <selection activeCell="F20" sqref="F20"/>
    </sheetView>
  </sheetViews>
  <sheetFormatPr defaultRowHeight="15"/>
  <cols>
    <col min="1" max="1" width="24.5703125" customWidth="1"/>
    <col min="2" max="2" width="12.7109375" customWidth="1"/>
    <col min="4" max="4" width="13.7109375" customWidth="1"/>
    <col min="5" max="5" width="13.28515625" customWidth="1"/>
    <col min="7" max="7" width="12.140625" customWidth="1"/>
  </cols>
  <sheetData>
    <row r="1" spans="1:7">
      <c r="A1" s="71" t="s">
        <v>1</v>
      </c>
      <c r="B1" s="71"/>
      <c r="C1" s="71"/>
      <c r="D1" s="71"/>
      <c r="E1" s="71"/>
      <c r="F1" s="71"/>
      <c r="G1" s="71"/>
    </row>
    <row r="2" spans="1:7">
      <c r="A2" s="8" t="s">
        <v>8</v>
      </c>
      <c r="B2" s="8" t="s">
        <v>14</v>
      </c>
      <c r="C2" s="8" t="s">
        <v>12</v>
      </c>
      <c r="D2" s="8" t="s">
        <v>13</v>
      </c>
      <c r="E2" s="8" t="s">
        <v>16</v>
      </c>
      <c r="F2" s="8" t="s">
        <v>15</v>
      </c>
      <c r="G2" s="8" t="s">
        <v>17</v>
      </c>
    </row>
    <row r="3" spans="1:7">
      <c r="A3" s="1" t="s">
        <v>0</v>
      </c>
      <c r="B3" s="2">
        <v>25000</v>
      </c>
      <c r="C3" s="1">
        <f>B3*10%</f>
        <v>2500</v>
      </c>
      <c r="D3" s="1">
        <f>B3*15%</f>
        <v>3750</v>
      </c>
      <c r="E3" s="3">
        <f>SUM(B3:D3)</f>
        <v>31250</v>
      </c>
      <c r="F3" s="1">
        <f>B3*5%</f>
        <v>1250</v>
      </c>
      <c r="G3" s="3">
        <f>E3-F3</f>
        <v>30000</v>
      </c>
    </row>
    <row r="4" spans="1:7">
      <c r="A4" s="1" t="s">
        <v>2</v>
      </c>
      <c r="B4" s="4">
        <v>24000</v>
      </c>
      <c r="C4" s="1">
        <f t="shared" ref="C4:C12" si="0">B4*10%</f>
        <v>2400</v>
      </c>
      <c r="D4" s="1">
        <f t="shared" ref="D4:D12" si="1">B4*15%</f>
        <v>3600</v>
      </c>
      <c r="E4" s="3">
        <f t="shared" ref="E4:E12" si="2">SUM(B4:D4)</f>
        <v>30000</v>
      </c>
      <c r="F4" s="1">
        <f t="shared" ref="F4:F12" si="3">B4*5%</f>
        <v>1200</v>
      </c>
      <c r="G4" s="3">
        <f t="shared" ref="G4:G12" si="4">E4-F4</f>
        <v>28800</v>
      </c>
    </row>
    <row r="5" spans="1:7">
      <c r="A5" s="1" t="s">
        <v>3</v>
      </c>
      <c r="B5" s="4">
        <v>23000</v>
      </c>
      <c r="C5" s="1">
        <f t="shared" si="0"/>
        <v>2300</v>
      </c>
      <c r="D5" s="1">
        <f t="shared" si="1"/>
        <v>3450</v>
      </c>
      <c r="E5" s="3">
        <f t="shared" si="2"/>
        <v>28750</v>
      </c>
      <c r="F5" s="1">
        <f t="shared" si="3"/>
        <v>1150</v>
      </c>
      <c r="G5" s="3">
        <f t="shared" si="4"/>
        <v>27600</v>
      </c>
    </row>
    <row r="6" spans="1:7">
      <c r="A6" s="1" t="s">
        <v>4</v>
      </c>
      <c r="B6" s="4">
        <v>22000</v>
      </c>
      <c r="C6" s="1">
        <f t="shared" si="0"/>
        <v>2200</v>
      </c>
      <c r="D6" s="1">
        <f t="shared" si="1"/>
        <v>3300</v>
      </c>
      <c r="E6" s="3">
        <f t="shared" si="2"/>
        <v>27500</v>
      </c>
      <c r="F6" s="1">
        <f t="shared" si="3"/>
        <v>1100</v>
      </c>
      <c r="G6" s="3">
        <f t="shared" si="4"/>
        <v>26400</v>
      </c>
    </row>
    <row r="7" spans="1:7">
      <c r="A7" s="1" t="s">
        <v>5</v>
      </c>
      <c r="B7" s="4">
        <v>21000</v>
      </c>
      <c r="C7" s="1">
        <f t="shared" si="0"/>
        <v>2100</v>
      </c>
      <c r="D7" s="1">
        <f t="shared" si="1"/>
        <v>3150</v>
      </c>
      <c r="E7" s="3">
        <f t="shared" si="2"/>
        <v>26250</v>
      </c>
      <c r="F7" s="1">
        <f t="shared" si="3"/>
        <v>1050</v>
      </c>
      <c r="G7" s="3">
        <f t="shared" si="4"/>
        <v>25200</v>
      </c>
    </row>
    <row r="8" spans="1:7">
      <c r="A8" s="1" t="s">
        <v>6</v>
      </c>
      <c r="B8" s="4">
        <v>20000</v>
      </c>
      <c r="C8" s="1">
        <f t="shared" si="0"/>
        <v>2000</v>
      </c>
      <c r="D8" s="1">
        <f t="shared" si="1"/>
        <v>3000</v>
      </c>
      <c r="E8" s="3">
        <f t="shared" si="2"/>
        <v>25000</v>
      </c>
      <c r="F8" s="1">
        <f t="shared" si="3"/>
        <v>1000</v>
      </c>
      <c r="G8" s="3">
        <f t="shared" si="4"/>
        <v>24000</v>
      </c>
    </row>
    <row r="9" spans="1:7">
      <c r="A9" s="1" t="s">
        <v>7</v>
      </c>
      <c r="B9" s="4">
        <v>19000</v>
      </c>
      <c r="C9" s="1">
        <f t="shared" si="0"/>
        <v>1900</v>
      </c>
      <c r="D9" s="1">
        <f t="shared" si="1"/>
        <v>2850</v>
      </c>
      <c r="E9" s="3">
        <f t="shared" si="2"/>
        <v>23750</v>
      </c>
      <c r="F9" s="1">
        <f t="shared" si="3"/>
        <v>950</v>
      </c>
      <c r="G9" s="3">
        <f t="shared" si="4"/>
        <v>22800</v>
      </c>
    </row>
    <row r="10" spans="1:7">
      <c r="A10" s="1" t="s">
        <v>9</v>
      </c>
      <c r="B10" s="4">
        <v>18000</v>
      </c>
      <c r="C10" s="1">
        <f t="shared" si="0"/>
        <v>1800</v>
      </c>
      <c r="D10" s="1">
        <f t="shared" si="1"/>
        <v>2700</v>
      </c>
      <c r="E10" s="3">
        <f>SUM(B10:D10)</f>
        <v>22500</v>
      </c>
      <c r="F10" s="1">
        <f t="shared" si="3"/>
        <v>900</v>
      </c>
      <c r="G10" s="3">
        <f>E10-F10</f>
        <v>21600</v>
      </c>
    </row>
    <row r="11" spans="1:7">
      <c r="A11" s="1" t="s">
        <v>10</v>
      </c>
      <c r="B11" s="4">
        <v>17000</v>
      </c>
      <c r="C11" s="1">
        <f t="shared" si="0"/>
        <v>1700</v>
      </c>
      <c r="D11" s="1">
        <f t="shared" si="1"/>
        <v>2550</v>
      </c>
      <c r="E11" s="3">
        <f t="shared" si="2"/>
        <v>21250</v>
      </c>
      <c r="F11" s="1">
        <f t="shared" si="3"/>
        <v>850</v>
      </c>
      <c r="G11" s="3">
        <f t="shared" si="4"/>
        <v>20400</v>
      </c>
    </row>
    <row r="12" spans="1:7">
      <c r="A12" s="1" t="s">
        <v>11</v>
      </c>
      <c r="B12" s="4">
        <v>16000</v>
      </c>
      <c r="C12" s="1">
        <f t="shared" si="0"/>
        <v>1600</v>
      </c>
      <c r="D12" s="1">
        <f t="shared" si="1"/>
        <v>2400</v>
      </c>
      <c r="E12" s="3">
        <f t="shared" si="2"/>
        <v>20000</v>
      </c>
      <c r="F12" s="1">
        <f t="shared" si="3"/>
        <v>800</v>
      </c>
      <c r="G12" s="3">
        <f t="shared" si="4"/>
        <v>19200</v>
      </c>
    </row>
    <row r="15" spans="1:7">
      <c r="A15" s="8" t="s">
        <v>8</v>
      </c>
      <c r="B15" s="8" t="s">
        <v>14</v>
      </c>
      <c r="C15" s="8" t="s">
        <v>12</v>
      </c>
      <c r="D15" s="8" t="s">
        <v>13</v>
      </c>
      <c r="E15" s="8" t="s">
        <v>16</v>
      </c>
      <c r="F15" s="8" t="s">
        <v>15</v>
      </c>
      <c r="G15" s="8" t="s">
        <v>17</v>
      </c>
    </row>
    <row r="16" spans="1:7">
      <c r="A16" s="1" t="s">
        <v>5</v>
      </c>
      <c r="B16" s="1">
        <f>VLOOKUP(A16,A3:G12,2,FALSE)</f>
        <v>21000</v>
      </c>
      <c r="C16" s="1">
        <f>VLOOKUP(A16,A3:G12,3,FALSE)</f>
        <v>2100</v>
      </c>
      <c r="D16" s="1">
        <f>VLOOKUP(A16,A3:G12,4,FALSE)</f>
        <v>3150</v>
      </c>
      <c r="E16" s="1" cm="1">
        <f t="array" ref="E16:G16">VLOOKUP(A16,A3:G12,{5,6,7},FALSE)</f>
        <v>26250</v>
      </c>
      <c r="F16" s="1">
        <v>1050</v>
      </c>
      <c r="G16" s="1">
        <v>25200</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D8D0-8B8B-48C9-9318-1E0E67275113}">
  <dimension ref="A1:G22"/>
  <sheetViews>
    <sheetView workbookViewId="0">
      <selection activeCell="E25" sqref="E25"/>
    </sheetView>
  </sheetViews>
  <sheetFormatPr defaultRowHeight="15"/>
  <cols>
    <col min="1" max="1" width="20.28515625" customWidth="1"/>
    <col min="2" max="2" width="17" customWidth="1"/>
    <col min="3" max="3" width="13.85546875" customWidth="1"/>
    <col min="4" max="4" width="16.140625" customWidth="1"/>
    <col min="5" max="5" width="15.7109375" customWidth="1"/>
    <col min="6" max="6" width="13" customWidth="1"/>
    <col min="7" max="7" width="17.28515625" customWidth="1"/>
  </cols>
  <sheetData>
    <row r="1" spans="1:7" ht="21">
      <c r="A1" s="98" t="s">
        <v>1</v>
      </c>
      <c r="B1" s="98"/>
      <c r="C1" s="98"/>
      <c r="D1" s="98"/>
      <c r="E1" s="98"/>
      <c r="F1" s="98"/>
      <c r="G1" s="98"/>
    </row>
    <row r="2" spans="1:7" ht="15.75">
      <c r="A2" s="5" t="s">
        <v>8</v>
      </c>
      <c r="B2" s="5" t="s">
        <v>14</v>
      </c>
      <c r="C2" s="5" t="s">
        <v>18</v>
      </c>
      <c r="D2" s="5" t="s">
        <v>19</v>
      </c>
      <c r="E2" s="5" t="s">
        <v>16</v>
      </c>
      <c r="F2" s="5" t="s">
        <v>15</v>
      </c>
      <c r="G2" s="5" t="s">
        <v>17</v>
      </c>
    </row>
    <row r="3" spans="1:7">
      <c r="A3" s="16" t="s">
        <v>0</v>
      </c>
      <c r="B3" s="17">
        <v>25000</v>
      </c>
      <c r="C3" s="18">
        <f>B3*15%</f>
        <v>3750</v>
      </c>
      <c r="D3" s="18">
        <f>B3*25%</f>
        <v>6250</v>
      </c>
      <c r="E3" s="19">
        <f>SUM('SALARY SHEET 2'!B3:D3)</f>
        <v>35000</v>
      </c>
      <c r="F3" s="18">
        <f>B3*5%</f>
        <v>1250</v>
      </c>
      <c r="G3" s="19">
        <f>E3-F3</f>
        <v>33750</v>
      </c>
    </row>
    <row r="4" spans="1:7">
      <c r="A4" s="16" t="s">
        <v>2</v>
      </c>
      <c r="B4" s="20">
        <v>24000</v>
      </c>
      <c r="C4" s="18">
        <f t="shared" ref="C4:C22" si="0">B4*15%</f>
        <v>3600</v>
      </c>
      <c r="D4" s="18">
        <f t="shared" ref="D4:D22" si="1">B4*25%</f>
        <v>6000</v>
      </c>
      <c r="E4" s="19">
        <f>SUM('SALARY SHEET 2'!B4:D4)</f>
        <v>33600</v>
      </c>
      <c r="F4" s="18">
        <f t="shared" ref="F4:F11" si="2">B4*5%</f>
        <v>1200</v>
      </c>
      <c r="G4" s="19">
        <f t="shared" ref="G4:G22" si="3">E4-F4</f>
        <v>32400</v>
      </c>
    </row>
    <row r="5" spans="1:7">
      <c r="A5" s="16" t="s">
        <v>3</v>
      </c>
      <c r="B5" s="20">
        <v>23000</v>
      </c>
      <c r="C5" s="18">
        <f t="shared" si="0"/>
        <v>3450</v>
      </c>
      <c r="D5" s="18">
        <f t="shared" si="1"/>
        <v>5750</v>
      </c>
      <c r="E5" s="19">
        <f>SUM('SALARY SHEET 2'!B5:D5)</f>
        <v>32200</v>
      </c>
      <c r="F5" s="18">
        <f t="shared" si="2"/>
        <v>1150</v>
      </c>
      <c r="G5" s="19">
        <f t="shared" si="3"/>
        <v>31050</v>
      </c>
    </row>
    <row r="6" spans="1:7">
      <c r="A6" s="16" t="s">
        <v>4</v>
      </c>
      <c r="B6" s="20">
        <v>22000</v>
      </c>
      <c r="C6" s="18">
        <f t="shared" si="0"/>
        <v>3300</v>
      </c>
      <c r="D6" s="18">
        <f t="shared" si="1"/>
        <v>5500</v>
      </c>
      <c r="E6" s="19">
        <f>SUM('SALARY SHEET 2'!B6:D6)</f>
        <v>30800</v>
      </c>
      <c r="F6" s="18">
        <f t="shared" si="2"/>
        <v>1100</v>
      </c>
      <c r="G6" s="19">
        <f t="shared" si="3"/>
        <v>29700</v>
      </c>
    </row>
    <row r="7" spans="1:7">
      <c r="A7" s="16" t="s">
        <v>5</v>
      </c>
      <c r="B7" s="20">
        <v>21000</v>
      </c>
      <c r="C7" s="18">
        <f t="shared" si="0"/>
        <v>3150</v>
      </c>
      <c r="D7" s="18">
        <f t="shared" si="1"/>
        <v>5250</v>
      </c>
      <c r="E7" s="19">
        <f>SUM('SALARY SHEET 2'!B7:D7)</f>
        <v>29400</v>
      </c>
      <c r="F7" s="18">
        <f t="shared" si="2"/>
        <v>1050</v>
      </c>
      <c r="G7" s="19">
        <f t="shared" si="3"/>
        <v>28350</v>
      </c>
    </row>
    <row r="8" spans="1:7">
      <c r="A8" s="16" t="s">
        <v>6</v>
      </c>
      <c r="B8" s="20">
        <v>20000</v>
      </c>
      <c r="C8" s="18">
        <f t="shared" si="0"/>
        <v>3000</v>
      </c>
      <c r="D8" s="18">
        <f t="shared" si="1"/>
        <v>5000</v>
      </c>
      <c r="E8" s="19">
        <f>SUM('SALARY SHEET 2'!B8:D8)</f>
        <v>28000</v>
      </c>
      <c r="F8" s="18">
        <f t="shared" si="2"/>
        <v>1000</v>
      </c>
      <c r="G8" s="19">
        <f t="shared" si="3"/>
        <v>27000</v>
      </c>
    </row>
    <row r="9" spans="1:7">
      <c r="A9" s="16" t="s">
        <v>7</v>
      </c>
      <c r="B9" s="20">
        <v>19000</v>
      </c>
      <c r="C9" s="18">
        <f t="shared" si="0"/>
        <v>2850</v>
      </c>
      <c r="D9" s="18">
        <f t="shared" si="1"/>
        <v>4750</v>
      </c>
      <c r="E9" s="19">
        <f>SUM('SALARY SHEET 2'!B9:D9)</f>
        <v>26600</v>
      </c>
      <c r="F9" s="18">
        <f t="shared" si="2"/>
        <v>950</v>
      </c>
      <c r="G9" s="19">
        <f t="shared" si="3"/>
        <v>25650</v>
      </c>
    </row>
    <row r="10" spans="1:7">
      <c r="A10" s="16" t="s">
        <v>9</v>
      </c>
      <c r="B10" s="20">
        <v>18000</v>
      </c>
      <c r="C10" s="18">
        <f t="shared" si="0"/>
        <v>2700</v>
      </c>
      <c r="D10" s="18">
        <f t="shared" si="1"/>
        <v>4500</v>
      </c>
      <c r="E10" s="19">
        <f>SUM('SALARY SHEET 2'!B10:D10)</f>
        <v>25200</v>
      </c>
      <c r="F10" s="18">
        <f t="shared" si="2"/>
        <v>900</v>
      </c>
      <c r="G10" s="19">
        <f t="shared" si="3"/>
        <v>24300</v>
      </c>
    </row>
    <row r="11" spans="1:7">
      <c r="A11" s="16" t="s">
        <v>10</v>
      </c>
      <c r="B11" s="20">
        <v>17000</v>
      </c>
      <c r="C11" s="18">
        <f t="shared" si="0"/>
        <v>2550</v>
      </c>
      <c r="D11" s="18">
        <f t="shared" si="1"/>
        <v>4250</v>
      </c>
      <c r="E11" s="19">
        <f>SUM('SALARY SHEET 2'!B11:D11)</f>
        <v>23800</v>
      </c>
      <c r="F11" s="18">
        <f t="shared" si="2"/>
        <v>850</v>
      </c>
      <c r="G11" s="19">
        <f t="shared" si="3"/>
        <v>22950</v>
      </c>
    </row>
    <row r="12" spans="1:7">
      <c r="A12" s="16" t="s">
        <v>11</v>
      </c>
      <c r="B12" s="20">
        <v>16000</v>
      </c>
      <c r="C12" s="18">
        <f t="shared" si="0"/>
        <v>2400</v>
      </c>
      <c r="D12" s="18">
        <f t="shared" si="1"/>
        <v>4000</v>
      </c>
      <c r="E12" s="19">
        <f>SUM('SALARY SHEET 2'!B12:D12)</f>
        <v>22400</v>
      </c>
      <c r="F12" s="18">
        <f t="shared" ref="F12:F22" si="4">B12*5%</f>
        <v>800</v>
      </c>
      <c r="G12" s="19">
        <f t="shared" si="3"/>
        <v>21600</v>
      </c>
    </row>
    <row r="13" spans="1:7">
      <c r="A13" s="16" t="s">
        <v>20</v>
      </c>
      <c r="B13" s="20">
        <v>30000</v>
      </c>
      <c r="C13" s="18">
        <f>B13*15%</f>
        <v>4500</v>
      </c>
      <c r="D13" s="18">
        <f>B13*25%</f>
        <v>7500</v>
      </c>
      <c r="E13" s="19">
        <f>SUM('SALARY SHEET 2'!B13:D13)</f>
        <v>42000</v>
      </c>
      <c r="F13" s="18">
        <f t="shared" si="4"/>
        <v>1500</v>
      </c>
      <c r="G13" s="19">
        <f t="shared" si="3"/>
        <v>40500</v>
      </c>
    </row>
    <row r="14" spans="1:7">
      <c r="A14" s="16" t="s">
        <v>21</v>
      </c>
      <c r="B14" s="20">
        <v>31000</v>
      </c>
      <c r="C14" s="18">
        <f t="shared" si="0"/>
        <v>4650</v>
      </c>
      <c r="D14" s="18">
        <f t="shared" si="1"/>
        <v>7750</v>
      </c>
      <c r="E14" s="19">
        <f>SUM('SALARY SHEET 2'!B14:D14)</f>
        <v>43400</v>
      </c>
      <c r="F14" s="18">
        <f t="shared" si="4"/>
        <v>1550</v>
      </c>
      <c r="G14" s="19">
        <f t="shared" si="3"/>
        <v>41850</v>
      </c>
    </row>
    <row r="15" spans="1:7">
      <c r="A15" s="16" t="s">
        <v>22</v>
      </c>
      <c r="B15" s="20">
        <v>32000</v>
      </c>
      <c r="C15" s="18">
        <f t="shared" si="0"/>
        <v>4800</v>
      </c>
      <c r="D15" s="18">
        <f t="shared" si="1"/>
        <v>8000</v>
      </c>
      <c r="E15" s="19">
        <f>SUM('SALARY SHEET 2'!B15:D15)</f>
        <v>44800</v>
      </c>
      <c r="F15" s="18">
        <f t="shared" si="4"/>
        <v>1600</v>
      </c>
      <c r="G15" s="19">
        <f t="shared" si="3"/>
        <v>43200</v>
      </c>
    </row>
    <row r="16" spans="1:7">
      <c r="A16" s="16" t="s">
        <v>23</v>
      </c>
      <c r="B16" s="20">
        <v>33000</v>
      </c>
      <c r="C16" s="18">
        <f t="shared" si="0"/>
        <v>4950</v>
      </c>
      <c r="D16" s="18">
        <f t="shared" si="1"/>
        <v>8250</v>
      </c>
      <c r="E16" s="19">
        <f>SUM('SALARY SHEET 2'!B16:D16)</f>
        <v>46200</v>
      </c>
      <c r="F16" s="18">
        <f t="shared" si="4"/>
        <v>1650</v>
      </c>
      <c r="G16" s="19">
        <f t="shared" si="3"/>
        <v>44550</v>
      </c>
    </row>
    <row r="17" spans="1:7">
      <c r="A17" s="16" t="s">
        <v>24</v>
      </c>
      <c r="B17" s="20">
        <v>34000</v>
      </c>
      <c r="C17" s="18">
        <f>B17*15%</f>
        <v>5100</v>
      </c>
      <c r="D17" s="18">
        <f>B17*25%</f>
        <v>8500</v>
      </c>
      <c r="E17" s="19">
        <f>SUM('SALARY SHEET 2'!B17:D17)</f>
        <v>47600</v>
      </c>
      <c r="F17" s="18">
        <f t="shared" si="4"/>
        <v>1700</v>
      </c>
      <c r="G17" s="19">
        <f t="shared" si="3"/>
        <v>45900</v>
      </c>
    </row>
    <row r="18" spans="1:7">
      <c r="A18" s="16" t="s">
        <v>25</v>
      </c>
      <c r="B18" s="20">
        <v>35000</v>
      </c>
      <c r="C18" s="18">
        <f t="shared" si="0"/>
        <v>5250</v>
      </c>
      <c r="D18" s="18">
        <f t="shared" si="1"/>
        <v>8750</v>
      </c>
      <c r="E18" s="19">
        <f>SUM('SALARY SHEET 2'!B18:D18)</f>
        <v>49000</v>
      </c>
      <c r="F18" s="18">
        <f t="shared" si="4"/>
        <v>1750</v>
      </c>
      <c r="G18" s="19">
        <f t="shared" si="3"/>
        <v>47250</v>
      </c>
    </row>
    <row r="19" spans="1:7">
      <c r="A19" s="16" t="s">
        <v>26</v>
      </c>
      <c r="B19" s="20">
        <v>26000</v>
      </c>
      <c r="C19" s="18">
        <f t="shared" si="0"/>
        <v>3900</v>
      </c>
      <c r="D19" s="18">
        <f t="shared" si="1"/>
        <v>6500</v>
      </c>
      <c r="E19" s="19">
        <f>SUM('SALARY SHEET 2'!B19:D19)</f>
        <v>36400</v>
      </c>
      <c r="F19" s="18">
        <f t="shared" si="4"/>
        <v>1300</v>
      </c>
      <c r="G19" s="19">
        <f t="shared" si="3"/>
        <v>35100</v>
      </c>
    </row>
    <row r="20" spans="1:7">
      <c r="A20" s="16" t="s">
        <v>27</v>
      </c>
      <c r="B20" s="20">
        <v>27000</v>
      </c>
      <c r="C20" s="18">
        <f t="shared" si="0"/>
        <v>4050</v>
      </c>
      <c r="D20" s="18">
        <f t="shared" si="1"/>
        <v>6750</v>
      </c>
      <c r="E20" s="19">
        <f>SUM('SALARY SHEET 2'!B20:D20)</f>
        <v>37800</v>
      </c>
      <c r="F20" s="18">
        <f t="shared" si="4"/>
        <v>1350</v>
      </c>
      <c r="G20" s="19">
        <f t="shared" si="3"/>
        <v>36450</v>
      </c>
    </row>
    <row r="21" spans="1:7">
      <c r="A21" s="16" t="s">
        <v>28</v>
      </c>
      <c r="B21" s="20">
        <v>28000</v>
      </c>
      <c r="C21" s="18">
        <f t="shared" si="0"/>
        <v>4200</v>
      </c>
      <c r="D21" s="18">
        <f t="shared" si="1"/>
        <v>7000</v>
      </c>
      <c r="E21" s="19">
        <f>SUM('SALARY SHEET 2'!B21:D21)</f>
        <v>39200</v>
      </c>
      <c r="F21" s="18">
        <f t="shared" si="4"/>
        <v>1400</v>
      </c>
      <c r="G21" s="19">
        <f t="shared" si="3"/>
        <v>37800</v>
      </c>
    </row>
    <row r="22" spans="1:7">
      <c r="A22" s="16" t="s">
        <v>29</v>
      </c>
      <c r="B22" s="20">
        <v>29000</v>
      </c>
      <c r="C22" s="18">
        <f t="shared" si="0"/>
        <v>4350</v>
      </c>
      <c r="D22" s="18">
        <f t="shared" si="1"/>
        <v>7250</v>
      </c>
      <c r="E22" s="19">
        <f>SUM('SALARY SHEET 2'!B22:D22)</f>
        <v>40600</v>
      </c>
      <c r="F22" s="18">
        <f t="shared" si="4"/>
        <v>1450</v>
      </c>
      <c r="G22" s="19">
        <f t="shared" si="3"/>
        <v>39150</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2960-A9A0-4AA1-B1C1-E201C8E65FD0}">
  <dimension ref="A1:V35"/>
  <sheetViews>
    <sheetView workbookViewId="0">
      <selection activeCell="Q12" sqref="Q12"/>
    </sheetView>
  </sheetViews>
  <sheetFormatPr defaultRowHeight="15"/>
  <cols>
    <col min="1" max="1" width="7.5703125" customWidth="1"/>
    <col min="2" max="2" width="17.85546875" customWidth="1"/>
    <col min="3" max="3" width="8.7109375" customWidth="1"/>
    <col min="4" max="4" width="11" customWidth="1"/>
    <col min="5" max="5" width="9.5703125" customWidth="1"/>
    <col min="6" max="6" width="10.7109375" customWidth="1"/>
    <col min="7" max="7" width="10.42578125" customWidth="1"/>
    <col min="9" max="9" width="12.140625" customWidth="1"/>
    <col min="13" max="13" width="14.140625" customWidth="1"/>
    <col min="22" max="22" width="14.85546875" customWidth="1"/>
  </cols>
  <sheetData>
    <row r="1" spans="1:22" ht="21.75" customHeight="1">
      <c r="A1" s="72" t="s">
        <v>30</v>
      </c>
      <c r="B1" s="72"/>
      <c r="C1" s="72"/>
      <c r="D1" s="72"/>
      <c r="E1" s="72"/>
      <c r="F1" s="72"/>
      <c r="G1" s="72"/>
      <c r="H1" s="72"/>
      <c r="I1" s="72"/>
      <c r="J1" s="72"/>
      <c r="K1" s="72"/>
      <c r="L1" s="72"/>
      <c r="M1" s="72"/>
      <c r="N1" s="72"/>
      <c r="O1" s="72"/>
    </row>
    <row r="2" spans="1:22" ht="15.75">
      <c r="A2" s="32" t="s">
        <v>31</v>
      </c>
      <c r="B2" s="32" t="s">
        <v>32</v>
      </c>
      <c r="C2" s="32" t="s">
        <v>33</v>
      </c>
      <c r="D2" s="32" t="s">
        <v>34</v>
      </c>
      <c r="E2" s="32" t="s">
        <v>35</v>
      </c>
      <c r="F2" s="32" t="s">
        <v>36</v>
      </c>
      <c r="G2" s="32" t="s">
        <v>37</v>
      </c>
      <c r="H2" s="99" t="s">
        <v>38</v>
      </c>
      <c r="I2" s="32" t="s">
        <v>39</v>
      </c>
      <c r="J2" s="32" t="s">
        <v>40</v>
      </c>
      <c r="K2" s="32" t="s">
        <v>41</v>
      </c>
      <c r="L2" s="32" t="s">
        <v>42</v>
      </c>
      <c r="M2" s="32" t="s">
        <v>43</v>
      </c>
      <c r="N2" s="32" t="s">
        <v>44</v>
      </c>
      <c r="O2" s="32" t="s">
        <v>45</v>
      </c>
    </row>
    <row r="3" spans="1:22" ht="15.75">
      <c r="A3" s="18">
        <v>1</v>
      </c>
      <c r="B3" s="18" t="s">
        <v>0</v>
      </c>
      <c r="C3" s="18">
        <v>85</v>
      </c>
      <c r="D3" s="18">
        <v>80</v>
      </c>
      <c r="E3" s="18">
        <v>99</v>
      </c>
      <c r="F3" s="18">
        <v>80</v>
      </c>
      <c r="G3" s="18">
        <v>80</v>
      </c>
      <c r="H3" s="18">
        <f>SUM(C3:G3)</f>
        <v>424</v>
      </c>
      <c r="I3" s="18">
        <f>AVERAGE(C3:G3)</f>
        <v>84.8</v>
      </c>
      <c r="J3" s="18">
        <f>MEDIAN(C3:G3)</f>
        <v>80</v>
      </c>
      <c r="K3" s="18">
        <f>MODE(C3:G3)</f>
        <v>80</v>
      </c>
      <c r="L3" s="21">
        <f>COUNT(C3:G3)</f>
        <v>5</v>
      </c>
      <c r="M3" s="22">
        <f>H3/500</f>
        <v>0.84799999999999998</v>
      </c>
      <c r="N3" s="18">
        <f>MIN(C3:G3)</f>
        <v>80</v>
      </c>
      <c r="O3" s="18">
        <f>MAX(C3:G3)</f>
        <v>99</v>
      </c>
    </row>
    <row r="4" spans="1:22" ht="15.75">
      <c r="A4" s="18">
        <v>2</v>
      </c>
      <c r="B4" s="18" t="s">
        <v>2</v>
      </c>
      <c r="C4" s="18">
        <v>90</v>
      </c>
      <c r="D4" s="18">
        <v>80</v>
      </c>
      <c r="E4" s="18">
        <v>75</v>
      </c>
      <c r="F4" s="18">
        <v>95</v>
      </c>
      <c r="G4" s="18">
        <v>80</v>
      </c>
      <c r="H4" s="18">
        <f t="shared" ref="H4:H22" si="0">SUM(C4:G4)</f>
        <v>420</v>
      </c>
      <c r="I4" s="18">
        <f t="shared" ref="I4:I22" si="1">AVERAGE(C4:G4)</f>
        <v>84</v>
      </c>
      <c r="J4" s="18">
        <f t="shared" ref="J4:J22" si="2">MEDIAN(C4:G4)</f>
        <v>80</v>
      </c>
      <c r="K4" s="18">
        <f t="shared" ref="K4:K22" si="3">MODE(C4:G4)</f>
        <v>80</v>
      </c>
      <c r="L4" s="21">
        <f t="shared" ref="L4:L22" si="4">COUNT(C4:G4)</f>
        <v>5</v>
      </c>
      <c r="M4" s="22">
        <f t="shared" ref="M4:M22" si="5">H4/500</f>
        <v>0.84</v>
      </c>
      <c r="N4" s="18">
        <f t="shared" ref="N4:N22" si="6">MIN(C4:G4)</f>
        <v>75</v>
      </c>
      <c r="O4" s="18">
        <f t="shared" ref="O4:O22" si="7">MAX(C4:G4)</f>
        <v>95</v>
      </c>
      <c r="S4" s="101" t="s">
        <v>51</v>
      </c>
      <c r="T4" s="101"/>
      <c r="U4" s="101"/>
      <c r="V4" s="101"/>
    </row>
    <row r="5" spans="1:22" ht="15.75">
      <c r="A5" s="18">
        <v>3</v>
      </c>
      <c r="B5" s="18" t="s">
        <v>3</v>
      </c>
      <c r="C5" s="18">
        <v>90</v>
      </c>
      <c r="D5" s="18">
        <v>75</v>
      </c>
      <c r="E5" s="18">
        <v>73</v>
      </c>
      <c r="F5" s="18">
        <v>90</v>
      </c>
      <c r="G5" s="18">
        <v>96</v>
      </c>
      <c r="H5" s="18">
        <f t="shared" si="0"/>
        <v>424</v>
      </c>
      <c r="I5" s="18">
        <f t="shared" si="1"/>
        <v>84.8</v>
      </c>
      <c r="J5" s="18">
        <f t="shared" si="2"/>
        <v>90</v>
      </c>
      <c r="K5" s="18">
        <f>MODE(C5:G5)</f>
        <v>90</v>
      </c>
      <c r="L5" s="21">
        <f t="shared" si="4"/>
        <v>5</v>
      </c>
      <c r="M5" s="22">
        <f t="shared" si="5"/>
        <v>0.84799999999999998</v>
      </c>
      <c r="N5" s="18">
        <f t="shared" si="6"/>
        <v>73</v>
      </c>
      <c r="O5" s="18">
        <f t="shared" si="7"/>
        <v>96</v>
      </c>
      <c r="S5" s="8" t="s">
        <v>33</v>
      </c>
      <c r="T5" s="8" t="s">
        <v>34</v>
      </c>
      <c r="U5" s="8" t="s">
        <v>38</v>
      </c>
      <c r="V5" s="8" t="s">
        <v>43</v>
      </c>
    </row>
    <row r="6" spans="1:22" ht="15.75">
      <c r="A6" s="18">
        <v>4</v>
      </c>
      <c r="B6" s="18" t="s">
        <v>4</v>
      </c>
      <c r="C6" s="18">
        <v>95</v>
      </c>
      <c r="D6" s="18">
        <v>80</v>
      </c>
      <c r="E6" s="18">
        <v>75</v>
      </c>
      <c r="F6" s="18">
        <v>92</v>
      </c>
      <c r="G6" s="18">
        <v>90</v>
      </c>
      <c r="H6" s="18">
        <f t="shared" si="0"/>
        <v>432</v>
      </c>
      <c r="I6" s="18">
        <f t="shared" si="1"/>
        <v>86.4</v>
      </c>
      <c r="J6" s="18">
        <f t="shared" si="2"/>
        <v>90</v>
      </c>
      <c r="K6" s="18" t="e">
        <f t="shared" si="3"/>
        <v>#N/A</v>
      </c>
      <c r="L6" s="21">
        <f t="shared" si="4"/>
        <v>5</v>
      </c>
      <c r="M6" s="22">
        <f t="shared" si="5"/>
        <v>0.86399999999999999</v>
      </c>
      <c r="N6" s="18">
        <f t="shared" si="6"/>
        <v>75</v>
      </c>
      <c r="O6" s="18">
        <f t="shared" si="7"/>
        <v>95</v>
      </c>
      <c r="S6" s="6">
        <v>74</v>
      </c>
      <c r="T6" s="6">
        <v>84</v>
      </c>
      <c r="U6" s="6">
        <f>SUM(S6:T6)</f>
        <v>158</v>
      </c>
      <c r="V6" s="7">
        <f>U6/200</f>
        <v>0.79</v>
      </c>
    </row>
    <row r="7" spans="1:22" ht="15.75">
      <c r="A7" s="18">
        <v>5</v>
      </c>
      <c r="B7" s="18" t="s">
        <v>5</v>
      </c>
      <c r="C7" s="18">
        <v>80</v>
      </c>
      <c r="D7" s="18">
        <v>85</v>
      </c>
      <c r="E7" s="18">
        <v>70</v>
      </c>
      <c r="F7" s="18">
        <v>82</v>
      </c>
      <c r="G7" s="18">
        <v>86</v>
      </c>
      <c r="H7" s="18">
        <f t="shared" si="0"/>
        <v>403</v>
      </c>
      <c r="I7" s="18">
        <f t="shared" si="1"/>
        <v>80.599999999999994</v>
      </c>
      <c r="J7" s="18">
        <f t="shared" si="2"/>
        <v>82</v>
      </c>
      <c r="K7" s="18" t="e">
        <f t="shared" si="3"/>
        <v>#N/A</v>
      </c>
      <c r="L7" s="21">
        <f t="shared" si="4"/>
        <v>5</v>
      </c>
      <c r="M7" s="22">
        <f t="shared" si="5"/>
        <v>0.80600000000000005</v>
      </c>
      <c r="N7" s="18">
        <f t="shared" si="6"/>
        <v>70</v>
      </c>
      <c r="O7" s="18">
        <f t="shared" si="7"/>
        <v>86</v>
      </c>
      <c r="S7" s="6">
        <v>73</v>
      </c>
      <c r="T7" s="6">
        <v>83</v>
      </c>
      <c r="U7" s="6">
        <f>SUM(S7:T7)</f>
        <v>156</v>
      </c>
      <c r="V7" s="7">
        <f>U7/200</f>
        <v>0.78</v>
      </c>
    </row>
    <row r="8" spans="1:22" ht="15.75">
      <c r="A8" s="18">
        <v>6</v>
      </c>
      <c r="B8" s="18" t="s">
        <v>6</v>
      </c>
      <c r="C8" s="18">
        <v>95</v>
      </c>
      <c r="D8" s="18">
        <v>90</v>
      </c>
      <c r="E8" s="18">
        <v>92</v>
      </c>
      <c r="F8" s="18">
        <v>89</v>
      </c>
      <c r="G8" s="18">
        <v>84</v>
      </c>
      <c r="H8" s="18">
        <f t="shared" si="0"/>
        <v>450</v>
      </c>
      <c r="I8" s="18">
        <f t="shared" si="1"/>
        <v>90</v>
      </c>
      <c r="J8" s="18">
        <f t="shared" si="2"/>
        <v>90</v>
      </c>
      <c r="K8" s="18" t="e">
        <f t="shared" si="3"/>
        <v>#N/A</v>
      </c>
      <c r="L8" s="21">
        <f t="shared" si="4"/>
        <v>5</v>
      </c>
      <c r="M8" s="22">
        <f t="shared" si="5"/>
        <v>0.9</v>
      </c>
      <c r="N8" s="18">
        <f t="shared" si="6"/>
        <v>84</v>
      </c>
      <c r="O8" s="18">
        <f t="shared" si="7"/>
        <v>95</v>
      </c>
    </row>
    <row r="9" spans="1:22" ht="15.75">
      <c r="A9" s="18">
        <v>7</v>
      </c>
      <c r="B9" s="18" t="s">
        <v>7</v>
      </c>
      <c r="C9" s="18">
        <v>85</v>
      </c>
      <c r="D9" s="18">
        <v>80</v>
      </c>
      <c r="E9" s="18">
        <v>78</v>
      </c>
      <c r="F9" s="18">
        <v>81</v>
      </c>
      <c r="G9" s="18">
        <v>79</v>
      </c>
      <c r="H9" s="18">
        <f t="shared" si="0"/>
        <v>403</v>
      </c>
      <c r="I9" s="18">
        <f t="shared" si="1"/>
        <v>80.599999999999994</v>
      </c>
      <c r="J9" s="18">
        <f t="shared" si="2"/>
        <v>80</v>
      </c>
      <c r="K9" s="18" t="e">
        <f t="shared" si="3"/>
        <v>#N/A</v>
      </c>
      <c r="L9" s="21">
        <f t="shared" si="4"/>
        <v>5</v>
      </c>
      <c r="M9" s="22">
        <f t="shared" si="5"/>
        <v>0.80600000000000005</v>
      </c>
      <c r="N9" s="18">
        <f t="shared" si="6"/>
        <v>78</v>
      </c>
      <c r="O9" s="18">
        <f t="shared" si="7"/>
        <v>85</v>
      </c>
    </row>
    <row r="10" spans="1:22" ht="15.75">
      <c r="A10" s="18">
        <v>8</v>
      </c>
      <c r="B10" s="18" t="s">
        <v>9</v>
      </c>
      <c r="C10" s="18">
        <v>90</v>
      </c>
      <c r="D10" s="18">
        <v>90</v>
      </c>
      <c r="E10" s="18">
        <v>93</v>
      </c>
      <c r="F10" s="18">
        <v>90</v>
      </c>
      <c r="G10" s="18">
        <v>87</v>
      </c>
      <c r="H10" s="18">
        <f t="shared" si="0"/>
        <v>450</v>
      </c>
      <c r="I10" s="18">
        <f t="shared" si="1"/>
        <v>90</v>
      </c>
      <c r="J10" s="18">
        <f t="shared" si="2"/>
        <v>90</v>
      </c>
      <c r="K10" s="18">
        <f t="shared" si="3"/>
        <v>90</v>
      </c>
      <c r="L10" s="21">
        <f t="shared" si="4"/>
        <v>5</v>
      </c>
      <c r="M10" s="22">
        <f t="shared" si="5"/>
        <v>0.9</v>
      </c>
      <c r="N10" s="18">
        <f t="shared" si="6"/>
        <v>87</v>
      </c>
      <c r="O10" s="18">
        <f t="shared" si="7"/>
        <v>93</v>
      </c>
      <c r="S10" s="100" t="s">
        <v>52</v>
      </c>
      <c r="T10" s="100"/>
      <c r="U10" s="100"/>
      <c r="V10" s="100"/>
    </row>
    <row r="11" spans="1:22" ht="15.75">
      <c r="A11" s="18">
        <v>9</v>
      </c>
      <c r="B11" s="18" t="s">
        <v>10</v>
      </c>
      <c r="C11" s="18">
        <v>90</v>
      </c>
      <c r="D11" s="18">
        <v>85</v>
      </c>
      <c r="E11" s="18">
        <v>85</v>
      </c>
      <c r="F11" s="18">
        <v>87</v>
      </c>
      <c r="G11" s="18">
        <v>89</v>
      </c>
      <c r="H11" s="18">
        <f t="shared" si="0"/>
        <v>436</v>
      </c>
      <c r="I11" s="18">
        <f t="shared" si="1"/>
        <v>87.2</v>
      </c>
      <c r="J11" s="18">
        <f t="shared" si="2"/>
        <v>87</v>
      </c>
      <c r="K11" s="18">
        <f t="shared" si="3"/>
        <v>85</v>
      </c>
      <c r="L11" s="21">
        <f t="shared" si="4"/>
        <v>5</v>
      </c>
      <c r="M11" s="22">
        <f t="shared" si="5"/>
        <v>0.872</v>
      </c>
      <c r="N11" s="18">
        <f t="shared" si="6"/>
        <v>85</v>
      </c>
      <c r="O11" s="18">
        <f t="shared" si="7"/>
        <v>90</v>
      </c>
      <c r="S11" s="6">
        <v>75</v>
      </c>
      <c r="T11" s="6">
        <v>85</v>
      </c>
      <c r="U11" s="6">
        <v>95</v>
      </c>
      <c r="V11" s="6">
        <f>MIN(S11:U11)</f>
        <v>75</v>
      </c>
    </row>
    <row r="12" spans="1:22" ht="15.75">
      <c r="A12" s="18">
        <v>10</v>
      </c>
      <c r="B12" s="18" t="s">
        <v>11</v>
      </c>
      <c r="C12" s="18">
        <v>85</v>
      </c>
      <c r="D12" s="18">
        <v>80</v>
      </c>
      <c r="E12" s="18">
        <v>97</v>
      </c>
      <c r="F12" s="18">
        <v>83</v>
      </c>
      <c r="G12" s="18">
        <v>82</v>
      </c>
      <c r="H12" s="18">
        <f t="shared" si="0"/>
        <v>427</v>
      </c>
      <c r="I12" s="18">
        <f t="shared" si="1"/>
        <v>85.4</v>
      </c>
      <c r="J12" s="18">
        <f t="shared" si="2"/>
        <v>83</v>
      </c>
      <c r="K12" s="18" t="e">
        <f t="shared" si="3"/>
        <v>#N/A</v>
      </c>
      <c r="L12" s="21">
        <f t="shared" si="4"/>
        <v>5</v>
      </c>
      <c r="M12" s="22">
        <f t="shared" si="5"/>
        <v>0.85399999999999998</v>
      </c>
      <c r="N12" s="18">
        <f t="shared" si="6"/>
        <v>80</v>
      </c>
      <c r="O12" s="18">
        <f t="shared" si="7"/>
        <v>97</v>
      </c>
      <c r="S12" s="6">
        <v>74</v>
      </c>
      <c r="T12" s="6">
        <v>84</v>
      </c>
      <c r="U12" s="6">
        <v>94</v>
      </c>
      <c r="V12" s="6">
        <f t="shared" ref="V12:V13" si="8">MIN(S12:U12)</f>
        <v>74</v>
      </c>
    </row>
    <row r="13" spans="1:22" ht="15.75">
      <c r="A13" s="18">
        <v>11</v>
      </c>
      <c r="B13" s="18" t="s">
        <v>20</v>
      </c>
      <c r="C13" s="18">
        <v>98</v>
      </c>
      <c r="D13" s="18">
        <v>99</v>
      </c>
      <c r="E13" s="18">
        <v>100</v>
      </c>
      <c r="F13" s="18">
        <v>97</v>
      </c>
      <c r="G13" s="18">
        <v>92</v>
      </c>
      <c r="H13" s="18">
        <f t="shared" si="0"/>
        <v>486</v>
      </c>
      <c r="I13" s="18">
        <f t="shared" si="1"/>
        <v>97.2</v>
      </c>
      <c r="J13" s="18">
        <f t="shared" si="2"/>
        <v>98</v>
      </c>
      <c r="K13" s="18" t="e">
        <f t="shared" si="3"/>
        <v>#N/A</v>
      </c>
      <c r="L13" s="21">
        <f t="shared" si="4"/>
        <v>5</v>
      </c>
      <c r="M13" s="22">
        <f t="shared" si="5"/>
        <v>0.97199999999999998</v>
      </c>
      <c r="N13" s="18">
        <f t="shared" si="6"/>
        <v>92</v>
      </c>
      <c r="O13" s="18">
        <f t="shared" si="7"/>
        <v>100</v>
      </c>
      <c r="S13" s="6">
        <v>73</v>
      </c>
      <c r="T13" s="6">
        <v>83</v>
      </c>
      <c r="U13" s="6">
        <v>93</v>
      </c>
      <c r="V13" s="6">
        <f t="shared" si="8"/>
        <v>73</v>
      </c>
    </row>
    <row r="14" spans="1:22" ht="15.75">
      <c r="A14" s="18">
        <v>12</v>
      </c>
      <c r="B14" s="18" t="s">
        <v>21</v>
      </c>
      <c r="C14" s="18">
        <v>90</v>
      </c>
      <c r="D14" s="18">
        <v>95</v>
      </c>
      <c r="E14" s="18">
        <v>90</v>
      </c>
      <c r="F14" s="18">
        <v>89</v>
      </c>
      <c r="G14" s="18">
        <v>85</v>
      </c>
      <c r="H14" s="18">
        <f t="shared" si="0"/>
        <v>449</v>
      </c>
      <c r="I14" s="18">
        <f t="shared" si="1"/>
        <v>89.8</v>
      </c>
      <c r="J14" s="18">
        <f t="shared" si="2"/>
        <v>90</v>
      </c>
      <c r="K14" s="18">
        <f t="shared" si="3"/>
        <v>90</v>
      </c>
      <c r="L14" s="21">
        <f t="shared" si="4"/>
        <v>5</v>
      </c>
      <c r="M14" s="22">
        <f t="shared" si="5"/>
        <v>0.89800000000000002</v>
      </c>
      <c r="N14" s="18">
        <f t="shared" si="6"/>
        <v>85</v>
      </c>
      <c r="O14" s="18">
        <f t="shared" si="7"/>
        <v>95</v>
      </c>
    </row>
    <row r="15" spans="1:22" ht="15.75">
      <c r="A15" s="18">
        <v>13</v>
      </c>
      <c r="B15" s="18" t="s">
        <v>22</v>
      </c>
      <c r="C15" s="18">
        <v>80</v>
      </c>
      <c r="D15" s="18">
        <v>90</v>
      </c>
      <c r="E15" s="18">
        <v>80</v>
      </c>
      <c r="F15" s="18">
        <v>86</v>
      </c>
      <c r="G15" s="18">
        <v>83</v>
      </c>
      <c r="H15" s="18">
        <f t="shared" si="0"/>
        <v>419</v>
      </c>
      <c r="I15" s="18">
        <f t="shared" si="1"/>
        <v>83.8</v>
      </c>
      <c r="J15" s="18">
        <f t="shared" si="2"/>
        <v>83</v>
      </c>
      <c r="K15" s="18">
        <f t="shared" si="3"/>
        <v>80</v>
      </c>
      <c r="L15" s="21">
        <f t="shared" si="4"/>
        <v>5</v>
      </c>
      <c r="M15" s="22">
        <f t="shared" si="5"/>
        <v>0.83799999999999997</v>
      </c>
      <c r="N15" s="18">
        <f t="shared" si="6"/>
        <v>80</v>
      </c>
      <c r="O15" s="18">
        <f t="shared" si="7"/>
        <v>90</v>
      </c>
    </row>
    <row r="16" spans="1:22" ht="15.75">
      <c r="A16" s="18">
        <v>14</v>
      </c>
      <c r="B16" s="18" t="s">
        <v>23</v>
      </c>
      <c r="C16" s="18">
        <v>80</v>
      </c>
      <c r="D16" s="18">
        <v>80</v>
      </c>
      <c r="E16" s="18">
        <v>80</v>
      </c>
      <c r="F16" s="18">
        <v>88</v>
      </c>
      <c r="G16" s="18">
        <v>81</v>
      </c>
      <c r="H16" s="18">
        <f t="shared" si="0"/>
        <v>409</v>
      </c>
      <c r="I16" s="18">
        <f t="shared" si="1"/>
        <v>81.8</v>
      </c>
      <c r="J16" s="18">
        <f t="shared" si="2"/>
        <v>80</v>
      </c>
      <c r="K16" s="18">
        <f t="shared" si="3"/>
        <v>80</v>
      </c>
      <c r="L16" s="21">
        <f t="shared" si="4"/>
        <v>5</v>
      </c>
      <c r="M16" s="22">
        <f t="shared" si="5"/>
        <v>0.81799999999999995</v>
      </c>
      <c r="N16" s="18">
        <f t="shared" si="6"/>
        <v>80</v>
      </c>
      <c r="O16" s="18">
        <f t="shared" si="7"/>
        <v>88</v>
      </c>
      <c r="S16" s="100" t="s">
        <v>53</v>
      </c>
      <c r="T16" s="100"/>
      <c r="U16" s="100"/>
      <c r="V16" s="100"/>
    </row>
    <row r="17" spans="1:22" ht="15.75">
      <c r="A17" s="18">
        <v>15</v>
      </c>
      <c r="B17" s="18" t="s">
        <v>24</v>
      </c>
      <c r="C17" s="18">
        <v>85</v>
      </c>
      <c r="D17" s="18">
        <v>85</v>
      </c>
      <c r="E17" s="18">
        <v>95</v>
      </c>
      <c r="F17" s="18">
        <v>86</v>
      </c>
      <c r="G17" s="18">
        <v>82</v>
      </c>
      <c r="H17" s="18">
        <f t="shared" si="0"/>
        <v>433</v>
      </c>
      <c r="I17" s="18">
        <f t="shared" si="1"/>
        <v>86.6</v>
      </c>
      <c r="J17" s="18">
        <f t="shared" si="2"/>
        <v>85</v>
      </c>
      <c r="K17" s="18">
        <f t="shared" si="3"/>
        <v>85</v>
      </c>
      <c r="L17" s="21">
        <f t="shared" si="4"/>
        <v>5</v>
      </c>
      <c r="M17" s="22">
        <f t="shared" si="5"/>
        <v>0.86599999999999999</v>
      </c>
      <c r="N17" s="18">
        <f t="shared" si="6"/>
        <v>82</v>
      </c>
      <c r="O17" s="18">
        <f t="shared" si="7"/>
        <v>95</v>
      </c>
      <c r="S17" s="6">
        <v>55</v>
      </c>
      <c r="T17" s="6">
        <v>65</v>
      </c>
      <c r="U17" s="6">
        <v>75</v>
      </c>
      <c r="V17" s="6">
        <f>MAX(S17:U17)</f>
        <v>75</v>
      </c>
    </row>
    <row r="18" spans="1:22" ht="15.75">
      <c r="A18" s="18">
        <v>16</v>
      </c>
      <c r="B18" s="18" t="s">
        <v>25</v>
      </c>
      <c r="C18" s="18">
        <v>80</v>
      </c>
      <c r="D18" s="18">
        <v>80</v>
      </c>
      <c r="E18" s="18">
        <v>78</v>
      </c>
      <c r="F18" s="18">
        <v>78</v>
      </c>
      <c r="G18" s="18">
        <v>86</v>
      </c>
      <c r="H18" s="18">
        <f t="shared" si="0"/>
        <v>402</v>
      </c>
      <c r="I18" s="18">
        <f t="shared" si="1"/>
        <v>80.400000000000006</v>
      </c>
      <c r="J18" s="18">
        <f t="shared" si="2"/>
        <v>80</v>
      </c>
      <c r="K18" s="18">
        <f t="shared" si="3"/>
        <v>80</v>
      </c>
      <c r="L18" s="21">
        <f t="shared" si="4"/>
        <v>5</v>
      </c>
      <c r="M18" s="22">
        <f t="shared" si="5"/>
        <v>0.80400000000000005</v>
      </c>
      <c r="N18" s="18">
        <f t="shared" si="6"/>
        <v>78</v>
      </c>
      <c r="O18" s="18">
        <f t="shared" si="7"/>
        <v>86</v>
      </c>
      <c r="S18" s="6">
        <v>56</v>
      </c>
      <c r="T18" s="6">
        <v>66</v>
      </c>
      <c r="U18" s="6">
        <v>76</v>
      </c>
      <c r="V18" s="6">
        <f t="shared" ref="V18:V19" si="9">MAX(S18:U18)</f>
        <v>76</v>
      </c>
    </row>
    <row r="19" spans="1:22" ht="15.75">
      <c r="A19" s="18">
        <v>17</v>
      </c>
      <c r="B19" s="18" t="s">
        <v>26</v>
      </c>
      <c r="C19" s="18">
        <v>85</v>
      </c>
      <c r="D19" s="18">
        <v>80</v>
      </c>
      <c r="E19" s="18">
        <v>79</v>
      </c>
      <c r="F19" s="18">
        <v>83</v>
      </c>
      <c r="G19" s="18">
        <v>81</v>
      </c>
      <c r="H19" s="18">
        <f t="shared" si="0"/>
        <v>408</v>
      </c>
      <c r="I19" s="18">
        <f t="shared" si="1"/>
        <v>81.599999999999994</v>
      </c>
      <c r="J19" s="18">
        <f t="shared" si="2"/>
        <v>81</v>
      </c>
      <c r="K19" s="18" t="e">
        <f t="shared" si="3"/>
        <v>#N/A</v>
      </c>
      <c r="L19" s="21">
        <f t="shared" si="4"/>
        <v>5</v>
      </c>
      <c r="M19" s="22">
        <f t="shared" si="5"/>
        <v>0.81599999999999995</v>
      </c>
      <c r="N19" s="18">
        <f t="shared" si="6"/>
        <v>79</v>
      </c>
      <c r="O19" s="18">
        <f t="shared" si="7"/>
        <v>85</v>
      </c>
      <c r="S19" s="6">
        <v>57</v>
      </c>
      <c r="T19" s="6">
        <v>67</v>
      </c>
      <c r="U19" s="6">
        <v>77</v>
      </c>
      <c r="V19" s="6">
        <f t="shared" si="9"/>
        <v>77</v>
      </c>
    </row>
    <row r="20" spans="1:22" ht="15.75">
      <c r="A20" s="18">
        <v>18</v>
      </c>
      <c r="B20" s="18" t="s">
        <v>27</v>
      </c>
      <c r="C20" s="18">
        <v>85</v>
      </c>
      <c r="D20" s="18">
        <v>90</v>
      </c>
      <c r="E20" s="18">
        <v>85</v>
      </c>
      <c r="F20" s="18">
        <v>82</v>
      </c>
      <c r="G20" s="18">
        <v>85</v>
      </c>
      <c r="H20" s="18">
        <f t="shared" si="0"/>
        <v>427</v>
      </c>
      <c r="I20" s="18">
        <f t="shared" si="1"/>
        <v>85.4</v>
      </c>
      <c r="J20" s="18">
        <f t="shared" si="2"/>
        <v>85</v>
      </c>
      <c r="K20" s="18">
        <f t="shared" si="3"/>
        <v>85</v>
      </c>
      <c r="L20" s="21">
        <f t="shared" si="4"/>
        <v>5</v>
      </c>
      <c r="M20" s="22">
        <f t="shared" si="5"/>
        <v>0.85399999999999998</v>
      </c>
      <c r="N20" s="18">
        <f t="shared" si="6"/>
        <v>82</v>
      </c>
      <c r="O20" s="18">
        <f t="shared" si="7"/>
        <v>90</v>
      </c>
    </row>
    <row r="21" spans="1:22" ht="15.75">
      <c r="A21" s="18">
        <v>19</v>
      </c>
      <c r="B21" s="18" t="s">
        <v>28</v>
      </c>
      <c r="C21" s="18">
        <v>80</v>
      </c>
      <c r="D21" s="18">
        <v>80</v>
      </c>
      <c r="E21" s="18">
        <v>76</v>
      </c>
      <c r="F21" s="18">
        <v>78</v>
      </c>
      <c r="G21" s="18">
        <v>84</v>
      </c>
      <c r="H21" s="18">
        <f t="shared" si="0"/>
        <v>398</v>
      </c>
      <c r="I21" s="18">
        <f t="shared" si="1"/>
        <v>79.599999999999994</v>
      </c>
      <c r="J21" s="18">
        <f t="shared" si="2"/>
        <v>80</v>
      </c>
      <c r="K21" s="18">
        <f t="shared" si="3"/>
        <v>80</v>
      </c>
      <c r="L21" s="21">
        <f t="shared" si="4"/>
        <v>5</v>
      </c>
      <c r="M21" s="22">
        <f t="shared" si="5"/>
        <v>0.79600000000000004</v>
      </c>
      <c r="N21" s="18">
        <f t="shared" si="6"/>
        <v>76</v>
      </c>
      <c r="O21" s="18">
        <f t="shared" si="7"/>
        <v>84</v>
      </c>
    </row>
    <row r="22" spans="1:22" ht="15.75">
      <c r="A22" s="18">
        <v>20</v>
      </c>
      <c r="B22" s="18" t="s">
        <v>29</v>
      </c>
      <c r="C22" s="18">
        <v>90</v>
      </c>
      <c r="D22" s="18">
        <v>95</v>
      </c>
      <c r="E22" s="18">
        <v>80</v>
      </c>
      <c r="F22" s="18">
        <v>93</v>
      </c>
      <c r="G22" s="18">
        <v>87</v>
      </c>
      <c r="H22" s="18">
        <f t="shared" si="0"/>
        <v>445</v>
      </c>
      <c r="I22" s="18">
        <f t="shared" si="1"/>
        <v>89</v>
      </c>
      <c r="J22" s="18">
        <f t="shared" si="2"/>
        <v>90</v>
      </c>
      <c r="K22" s="18" t="e">
        <f t="shared" si="3"/>
        <v>#N/A</v>
      </c>
      <c r="L22" s="21">
        <f t="shared" si="4"/>
        <v>5</v>
      </c>
      <c r="M22" s="22">
        <f t="shared" si="5"/>
        <v>0.89</v>
      </c>
      <c r="N22" s="18">
        <f t="shared" si="6"/>
        <v>80</v>
      </c>
      <c r="O22" s="18">
        <f t="shared" si="7"/>
        <v>95</v>
      </c>
    </row>
    <row r="26" spans="1:22">
      <c r="C26" s="100" t="s">
        <v>46</v>
      </c>
      <c r="D26" s="100"/>
      <c r="E26" s="100"/>
      <c r="F26" s="100"/>
      <c r="H26" s="100" t="s">
        <v>47</v>
      </c>
      <c r="I26" s="100"/>
      <c r="J26" s="100"/>
      <c r="K26" s="100"/>
      <c r="M26" s="100" t="s">
        <v>49</v>
      </c>
      <c r="N26" s="100"/>
      <c r="O26" s="100"/>
    </row>
    <row r="27" spans="1:22">
      <c r="C27" s="6">
        <v>78</v>
      </c>
      <c r="D27" s="6">
        <v>83</v>
      </c>
      <c r="E27" s="6">
        <v>65</v>
      </c>
      <c r="F27" s="6">
        <f>SUM(C27+D27+E27)</f>
        <v>226</v>
      </c>
      <c r="H27" s="6">
        <v>75</v>
      </c>
      <c r="I27" s="6">
        <v>85</v>
      </c>
      <c r="J27" s="6">
        <v>95</v>
      </c>
      <c r="K27" s="6">
        <f>AVERAGE(H27:J27)</f>
        <v>85</v>
      </c>
      <c r="M27" s="6">
        <v>80</v>
      </c>
      <c r="N27" s="6">
        <v>84</v>
      </c>
      <c r="O27" s="6" t="e">
        <f>MODE(M27:N27)</f>
        <v>#N/A</v>
      </c>
    </row>
    <row r="28" spans="1:22">
      <c r="C28" s="6">
        <v>81</v>
      </c>
      <c r="D28" s="6">
        <v>73</v>
      </c>
      <c r="E28" s="6">
        <v>87</v>
      </c>
      <c r="F28" s="6">
        <f t="shared" ref="F28:F29" si="10">SUM(C28+D28+E28)</f>
        <v>241</v>
      </c>
      <c r="H28" s="6">
        <v>74</v>
      </c>
      <c r="I28" s="6">
        <v>84</v>
      </c>
      <c r="J28" s="6">
        <v>94</v>
      </c>
      <c r="K28" s="6">
        <f t="shared" ref="K28:K29" si="11">AVERAGE(H28:J28)</f>
        <v>84</v>
      </c>
      <c r="M28" s="6">
        <v>65</v>
      </c>
      <c r="N28" s="6">
        <v>67</v>
      </c>
      <c r="O28" s="6" t="e">
        <f>MODE(M28:N28)</f>
        <v>#N/A</v>
      </c>
    </row>
    <row r="29" spans="1:22">
      <c r="C29" s="6">
        <v>72</v>
      </c>
      <c r="D29" s="6">
        <v>67</v>
      </c>
      <c r="E29" s="6">
        <v>82</v>
      </c>
      <c r="F29" s="6">
        <f t="shared" si="10"/>
        <v>221</v>
      </c>
      <c r="H29" s="6">
        <v>73</v>
      </c>
      <c r="I29" s="6">
        <v>83</v>
      </c>
      <c r="J29" s="6">
        <v>93</v>
      </c>
      <c r="K29" s="6">
        <f t="shared" si="11"/>
        <v>83</v>
      </c>
      <c r="M29" s="6">
        <v>70</v>
      </c>
      <c r="N29" s="6">
        <v>75</v>
      </c>
      <c r="O29" s="6" t="e">
        <f>MODE(M29:N29)</f>
        <v>#N/A</v>
      </c>
    </row>
    <row r="32" spans="1:22">
      <c r="C32" s="100" t="s">
        <v>46</v>
      </c>
      <c r="D32" s="100"/>
      <c r="E32" s="100"/>
      <c r="F32" s="100"/>
      <c r="H32" s="100" t="s">
        <v>48</v>
      </c>
      <c r="I32" s="100"/>
      <c r="J32" s="100"/>
      <c r="K32" s="100"/>
      <c r="M32" s="100" t="s">
        <v>50</v>
      </c>
      <c r="N32" s="100"/>
      <c r="O32" s="100"/>
    </row>
    <row r="33" spans="3:15">
      <c r="C33" s="6">
        <v>75</v>
      </c>
      <c r="D33" s="6">
        <v>81</v>
      </c>
      <c r="E33" s="6">
        <v>62</v>
      </c>
      <c r="F33" s="6">
        <f>SUM(C33:E33)</f>
        <v>218</v>
      </c>
      <c r="H33" s="6">
        <v>55</v>
      </c>
      <c r="I33" s="6">
        <v>65</v>
      </c>
      <c r="J33" s="6">
        <v>75</v>
      </c>
      <c r="K33" s="6">
        <f>MEDIAN(H33:J33)</f>
        <v>65</v>
      </c>
      <c r="M33" s="6">
        <v>78</v>
      </c>
      <c r="N33" s="6">
        <v>83</v>
      </c>
      <c r="O33" s="6">
        <f>COUNT(M33:N33)</f>
        <v>2</v>
      </c>
    </row>
    <row r="34" spans="3:15">
      <c r="C34" s="6">
        <v>79</v>
      </c>
      <c r="D34" s="6">
        <v>75</v>
      </c>
      <c r="E34" s="6">
        <v>84</v>
      </c>
      <c r="F34" s="6">
        <f t="shared" ref="F34:F35" si="12">SUM(C34:E34)</f>
        <v>238</v>
      </c>
      <c r="H34" s="6">
        <v>56</v>
      </c>
      <c r="I34" s="6">
        <v>66</v>
      </c>
      <c r="J34" s="6">
        <v>76</v>
      </c>
      <c r="K34" s="6">
        <f t="shared" ref="K34:K35" si="13">MEDIAN(H34:J34)</f>
        <v>66</v>
      </c>
      <c r="M34" s="6">
        <v>81</v>
      </c>
      <c r="N34" s="6">
        <v>73</v>
      </c>
      <c r="O34" s="6">
        <f t="shared" ref="O34:O35" si="14">COUNT(M34:N34)</f>
        <v>2</v>
      </c>
    </row>
    <row r="35" spans="3:15">
      <c r="C35" s="6">
        <v>76</v>
      </c>
      <c r="D35" s="6">
        <v>69</v>
      </c>
      <c r="E35" s="6">
        <v>83</v>
      </c>
      <c r="F35" s="6">
        <f t="shared" si="12"/>
        <v>228</v>
      </c>
      <c r="H35" s="6">
        <v>57</v>
      </c>
      <c r="I35" s="6">
        <v>67</v>
      </c>
      <c r="J35" s="6">
        <v>77</v>
      </c>
      <c r="K35" s="6">
        <f t="shared" si="13"/>
        <v>67</v>
      </c>
      <c r="M35" s="6">
        <v>72</v>
      </c>
      <c r="N35" s="6">
        <v>67</v>
      </c>
      <c r="O35" s="6">
        <f t="shared" si="14"/>
        <v>2</v>
      </c>
    </row>
  </sheetData>
  <mergeCells count="10">
    <mergeCell ref="M32:O32"/>
    <mergeCell ref="S4:V4"/>
    <mergeCell ref="S10:V10"/>
    <mergeCell ref="S16:V16"/>
    <mergeCell ref="A1:O1"/>
    <mergeCell ref="C26:F26"/>
    <mergeCell ref="C32:F32"/>
    <mergeCell ref="H26:K26"/>
    <mergeCell ref="H32:K32"/>
    <mergeCell ref="M26:O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3B5B-B126-481D-ACE8-0C9A4331B76A}">
  <dimension ref="A1:W44"/>
  <sheetViews>
    <sheetView workbookViewId="0">
      <selection activeCell="I10" sqref="I10"/>
    </sheetView>
  </sheetViews>
  <sheetFormatPr defaultRowHeight="15"/>
  <cols>
    <col min="1" max="1" width="13.85546875" customWidth="1"/>
    <col min="2" max="2" width="11.5703125" customWidth="1"/>
    <col min="3" max="3" width="13" customWidth="1"/>
    <col min="4" max="4" width="12.42578125" customWidth="1"/>
    <col min="5" max="5" width="12.7109375" customWidth="1"/>
    <col min="7" max="7" width="11" customWidth="1"/>
    <col min="8" max="8" width="12.5703125" customWidth="1"/>
    <col min="9" max="9" width="13.140625" customWidth="1"/>
    <col min="10" max="10" width="13.85546875" customWidth="1"/>
    <col min="11" max="11" width="11.7109375" customWidth="1"/>
    <col min="13" max="13" width="11" customWidth="1"/>
    <col min="15" max="15" width="10.42578125" customWidth="1"/>
    <col min="17" max="17" width="12.28515625" customWidth="1"/>
    <col min="18" max="18" width="11.85546875" customWidth="1"/>
    <col min="19" max="19" width="11.5703125" customWidth="1"/>
    <col min="20" max="20" width="13.28515625" customWidth="1"/>
    <col min="21" max="21" width="12.7109375" customWidth="1"/>
    <col min="23" max="23" width="13.28515625" customWidth="1"/>
  </cols>
  <sheetData>
    <row r="1" spans="1:21" ht="24">
      <c r="A1" s="102" t="s">
        <v>127</v>
      </c>
      <c r="B1" s="103"/>
      <c r="C1" s="103"/>
      <c r="D1" s="103"/>
      <c r="E1" s="103"/>
      <c r="F1" s="103"/>
      <c r="G1" s="103"/>
      <c r="H1" s="34"/>
      <c r="I1" s="34"/>
      <c r="J1" s="34"/>
      <c r="K1" s="103" t="s">
        <v>139</v>
      </c>
      <c r="L1" s="103"/>
      <c r="M1" s="103"/>
      <c r="N1" s="103"/>
      <c r="O1" s="103"/>
      <c r="P1" s="103"/>
      <c r="Q1" s="103"/>
      <c r="R1" s="103"/>
      <c r="S1" s="103"/>
      <c r="T1" s="103"/>
      <c r="U1" s="103"/>
    </row>
    <row r="2" spans="1:21" ht="15.75">
      <c r="A2" s="32" t="s">
        <v>128</v>
      </c>
      <c r="B2" s="32" t="s">
        <v>129</v>
      </c>
      <c r="C2" s="32" t="s">
        <v>130</v>
      </c>
      <c r="D2" s="33" t="s">
        <v>131</v>
      </c>
      <c r="E2" s="73" t="s">
        <v>138</v>
      </c>
      <c r="F2" s="73"/>
      <c r="G2" s="73"/>
      <c r="K2" s="32" t="s">
        <v>32</v>
      </c>
      <c r="L2" s="32" t="s">
        <v>33</v>
      </c>
      <c r="M2" s="32" t="s">
        <v>34</v>
      </c>
      <c r="N2" s="32" t="s">
        <v>35</v>
      </c>
      <c r="O2" s="32" t="s">
        <v>36</v>
      </c>
      <c r="P2" s="32" t="s">
        <v>140</v>
      </c>
      <c r="Q2" s="32" t="s">
        <v>141</v>
      </c>
      <c r="R2" s="32" t="s">
        <v>142</v>
      </c>
      <c r="S2" s="32" t="s">
        <v>143</v>
      </c>
      <c r="T2" s="32" t="s">
        <v>144</v>
      </c>
      <c r="U2" s="32" t="s">
        <v>145</v>
      </c>
    </row>
    <row r="3" spans="1:21">
      <c r="A3" s="1" t="s">
        <v>132</v>
      </c>
      <c r="B3" s="1">
        <v>60000</v>
      </c>
      <c r="C3" s="1" t="str">
        <f>IF(B3&gt;=50000,"good","bad")</f>
        <v>good</v>
      </c>
      <c r="D3" s="31">
        <f>IF(B3&gt;B3-(B3-10%),B3)</f>
        <v>60000</v>
      </c>
      <c r="E3" s="1">
        <v>20</v>
      </c>
      <c r="F3" s="1">
        <v>101</v>
      </c>
      <c r="G3" s="1">
        <f>IF(E3&lt;=F3,(F3-E3),(E3-F3))</f>
        <v>81</v>
      </c>
      <c r="K3" s="1" t="s">
        <v>0</v>
      </c>
      <c r="L3" s="18">
        <v>85</v>
      </c>
      <c r="M3" s="18">
        <v>80</v>
      </c>
      <c r="N3" s="18">
        <v>99</v>
      </c>
      <c r="O3" s="18">
        <v>80</v>
      </c>
      <c r="P3" s="18">
        <v>80</v>
      </c>
      <c r="Q3" s="1" t="str" cm="1">
        <f t="array" ref="Q3:U3">_xlfn.IFS(L3:P3&lt;=50,"D",L3:P3&lt;=70,"C",L3:P3&lt;=80,"B",L3:P3&lt;=90,"A",L3:P3&lt;=95,"A+")</f>
        <v>A</v>
      </c>
      <c r="R3" s="1" t="str">
        <v>B</v>
      </c>
      <c r="S3" s="1" t="e">
        <v>#N/A</v>
      </c>
      <c r="T3" s="1" t="str">
        <v>B</v>
      </c>
      <c r="U3" s="1" t="str">
        <v>B</v>
      </c>
    </row>
    <row r="4" spans="1:21">
      <c r="A4" s="1" t="s">
        <v>133</v>
      </c>
      <c r="B4" s="1">
        <v>70000</v>
      </c>
      <c r="C4" s="1" t="str">
        <f t="shared" ref="C4:C9" si="0">IF(B4&gt;=50000,"good","bad")</f>
        <v>good</v>
      </c>
      <c r="D4" s="31">
        <f t="shared" ref="D4:D9" si="1">IF(B4&gt;B4-(B4-10%),B4)</f>
        <v>70000</v>
      </c>
      <c r="E4" s="1">
        <v>25</v>
      </c>
      <c r="F4" s="1">
        <v>109</v>
      </c>
      <c r="G4" s="1">
        <f t="shared" ref="G4:G10" si="2">IF(E4&lt;=F4,(F4-E4),(E4-F4))</f>
        <v>84</v>
      </c>
      <c r="K4" s="1" t="s">
        <v>2</v>
      </c>
      <c r="L4" s="18">
        <v>90</v>
      </c>
      <c r="M4" s="18">
        <v>80</v>
      </c>
      <c r="N4" s="18">
        <v>75</v>
      </c>
      <c r="O4" s="18">
        <v>95</v>
      </c>
      <c r="P4" s="18">
        <v>80</v>
      </c>
      <c r="Q4" s="1" t="str" cm="1">
        <f t="array" ref="Q4:U4">_xlfn.IFS(L4:P4&lt;=50,"D",L4:P4&lt;=70,"C",L4:P4&lt;=80,"B",L4:P4&lt;=90,"A",L4:P4&lt;=95,"A+")</f>
        <v>A</v>
      </c>
      <c r="R4" s="1" t="str">
        <v>B</v>
      </c>
      <c r="S4" s="1" t="str">
        <v>B</v>
      </c>
      <c r="T4" s="1" t="str">
        <v>A+</v>
      </c>
      <c r="U4" s="1" t="str">
        <v>B</v>
      </c>
    </row>
    <row r="5" spans="1:21">
      <c r="A5" s="1" t="s">
        <v>134</v>
      </c>
      <c r="B5" s="1">
        <v>40000</v>
      </c>
      <c r="C5" s="1" t="str">
        <f t="shared" si="0"/>
        <v>bad</v>
      </c>
      <c r="D5" s="31">
        <f t="shared" si="1"/>
        <v>40000</v>
      </c>
      <c r="E5" s="1">
        <v>30</v>
      </c>
      <c r="F5" s="1">
        <v>108</v>
      </c>
      <c r="G5" s="1">
        <f t="shared" si="2"/>
        <v>78</v>
      </c>
      <c r="K5" s="1" t="s">
        <v>3</v>
      </c>
      <c r="L5" s="18">
        <v>90</v>
      </c>
      <c r="M5" s="18">
        <v>75</v>
      </c>
      <c r="N5" s="18">
        <v>73</v>
      </c>
      <c r="O5" s="18">
        <v>90</v>
      </c>
      <c r="P5" s="18">
        <v>96</v>
      </c>
      <c r="Q5" s="1" t="str" cm="1">
        <f t="array" ref="Q5:U5">_xlfn.IFS(L5:P5&lt;=50,"D",L5:P5&lt;=70,"C",L5:P5&lt;=80,"B",L5:P5&lt;=90,"A",L5:P5&lt;=95,"A+")</f>
        <v>A</v>
      </c>
      <c r="R5" s="1" t="str">
        <v>B</v>
      </c>
      <c r="S5" s="1" t="str">
        <v>B</v>
      </c>
      <c r="T5" s="1" t="str">
        <v>A</v>
      </c>
      <c r="U5" s="1" t="e">
        <v>#N/A</v>
      </c>
    </row>
    <row r="6" spans="1:21">
      <c r="A6" s="1" t="s">
        <v>0</v>
      </c>
      <c r="B6" s="1">
        <v>80000</v>
      </c>
      <c r="C6" s="1" t="str">
        <f t="shared" si="0"/>
        <v>good</v>
      </c>
      <c r="D6" s="31">
        <f t="shared" si="1"/>
        <v>80000</v>
      </c>
      <c r="E6" s="1">
        <v>33</v>
      </c>
      <c r="F6" s="1">
        <v>111</v>
      </c>
      <c r="G6" s="1">
        <f t="shared" si="2"/>
        <v>78</v>
      </c>
      <c r="K6" s="1" t="s">
        <v>4</v>
      </c>
      <c r="L6" s="18">
        <v>95</v>
      </c>
      <c r="M6" s="18">
        <v>80</v>
      </c>
      <c r="N6" s="18">
        <v>75</v>
      </c>
      <c r="O6" s="18">
        <v>92</v>
      </c>
      <c r="P6" s="18">
        <v>90</v>
      </c>
      <c r="Q6" s="1" t="str" cm="1">
        <f t="array" ref="Q6:U6">_xlfn.IFS(L6:P6&lt;=50,"D",L6:P6&lt;=70,"C",L6:P6&lt;=80,"B",L6:P6&lt;=90,"A",L6:P6&lt;=95,"A+")</f>
        <v>A+</v>
      </c>
      <c r="R6" s="1" t="str">
        <v>B</v>
      </c>
      <c r="S6" s="1" t="str">
        <v>B</v>
      </c>
      <c r="T6" s="1" t="str">
        <v>A+</v>
      </c>
      <c r="U6" s="1" t="str">
        <v>A</v>
      </c>
    </row>
    <row r="7" spans="1:21">
      <c r="A7" s="1" t="s">
        <v>137</v>
      </c>
      <c r="B7" s="1">
        <v>90000</v>
      </c>
      <c r="C7" s="1" t="str">
        <f t="shared" si="0"/>
        <v>good</v>
      </c>
      <c r="D7" s="31">
        <f t="shared" si="1"/>
        <v>90000</v>
      </c>
      <c r="E7" s="1">
        <v>29</v>
      </c>
      <c r="F7" s="1">
        <v>115</v>
      </c>
      <c r="G7" s="1">
        <f t="shared" si="2"/>
        <v>86</v>
      </c>
      <c r="K7" s="1" t="s">
        <v>5</v>
      </c>
      <c r="L7" s="18">
        <v>80</v>
      </c>
      <c r="M7" s="18">
        <v>85</v>
      </c>
      <c r="N7" s="18">
        <v>70</v>
      </c>
      <c r="O7" s="18">
        <v>82</v>
      </c>
      <c r="P7" s="18">
        <v>86</v>
      </c>
      <c r="Q7" s="1" t="str" cm="1">
        <f t="array" ref="Q7:U7">_xlfn.IFS(L7:P7&lt;=50,"D",L7:P7&lt;=70,"C",L7:P7&lt;=80,"B",L7:P7&lt;=90,"A",L7:P7&lt;=95,"A+")</f>
        <v>B</v>
      </c>
      <c r="R7" s="1" t="str">
        <v>A</v>
      </c>
      <c r="S7" s="1" t="str">
        <v>C</v>
      </c>
      <c r="T7" s="1" t="str">
        <v>A</v>
      </c>
      <c r="U7" s="1" t="str">
        <v>A</v>
      </c>
    </row>
    <row r="8" spans="1:21">
      <c r="A8" s="1" t="s">
        <v>6</v>
      </c>
      <c r="B8" s="1">
        <v>50000</v>
      </c>
      <c r="C8" s="1" t="str">
        <f t="shared" si="0"/>
        <v>good</v>
      </c>
      <c r="D8" s="31">
        <f t="shared" si="1"/>
        <v>50000</v>
      </c>
      <c r="E8" s="1">
        <v>19</v>
      </c>
      <c r="F8" s="1">
        <v>120</v>
      </c>
      <c r="G8" s="1">
        <f t="shared" si="2"/>
        <v>101</v>
      </c>
      <c r="K8" s="1" t="s">
        <v>6</v>
      </c>
      <c r="L8" s="18">
        <v>95</v>
      </c>
      <c r="M8" s="18">
        <v>90</v>
      </c>
      <c r="N8" s="18">
        <v>92</v>
      </c>
      <c r="O8" s="18">
        <v>89</v>
      </c>
      <c r="P8" s="18">
        <v>84</v>
      </c>
      <c r="Q8" s="1" t="str" cm="1">
        <f t="array" ref="Q8:U8">_xlfn.IFS(L8:P8&lt;=50,"D",L8:P8&lt;=70,"C",L8:P8&lt;=80,"B",L8:P8&lt;=90,"A",L8:P8&lt;=95,"A+")</f>
        <v>A+</v>
      </c>
      <c r="R8" s="1" t="str">
        <v>A</v>
      </c>
      <c r="S8" s="1" t="str">
        <v>A+</v>
      </c>
      <c r="T8" s="1" t="str">
        <v>A</v>
      </c>
      <c r="U8" s="1" t="str">
        <v>A</v>
      </c>
    </row>
    <row r="9" spans="1:21">
      <c r="A9" s="1" t="s">
        <v>2</v>
      </c>
      <c r="B9" s="1">
        <v>75000</v>
      </c>
      <c r="C9" s="1" t="str">
        <f t="shared" si="0"/>
        <v>good</v>
      </c>
      <c r="D9" s="31">
        <f t="shared" si="1"/>
        <v>75000</v>
      </c>
      <c r="E9" s="1">
        <v>15</v>
      </c>
      <c r="F9" s="1">
        <v>125</v>
      </c>
      <c r="G9" s="1">
        <f t="shared" si="2"/>
        <v>110</v>
      </c>
      <c r="K9" s="1" t="s">
        <v>7</v>
      </c>
      <c r="L9" s="18">
        <v>85</v>
      </c>
      <c r="M9" s="18">
        <v>80</v>
      </c>
      <c r="N9" s="18">
        <v>78</v>
      </c>
      <c r="O9" s="18">
        <v>81</v>
      </c>
      <c r="P9" s="18">
        <v>79</v>
      </c>
      <c r="Q9" s="1" t="str" cm="1">
        <f t="array" ref="Q9:U9">_xlfn.IFS(L9:P9&lt;=50,"D",L9:P9&lt;=70,"C",L9:P9&lt;=80,"B",L9:P9&lt;=90,"A",L9:P9&lt;=95,"A+")</f>
        <v>A</v>
      </c>
      <c r="R9" s="1" t="str">
        <v>B</v>
      </c>
      <c r="S9" s="1" t="str">
        <v>B</v>
      </c>
      <c r="T9" s="1" t="str">
        <v>A</v>
      </c>
      <c r="U9" s="1" t="str">
        <v>B</v>
      </c>
    </row>
    <row r="10" spans="1:21" ht="59.25" customHeight="1">
      <c r="A10" s="1"/>
      <c r="B10" s="1"/>
      <c r="C10" s="30" t="s">
        <v>135</v>
      </c>
      <c r="D10" s="31" t="s">
        <v>136</v>
      </c>
      <c r="E10" s="1">
        <v>35</v>
      </c>
      <c r="F10" s="1">
        <v>105</v>
      </c>
      <c r="G10" s="1">
        <f t="shared" si="2"/>
        <v>70</v>
      </c>
      <c r="K10" s="1" t="s">
        <v>9</v>
      </c>
      <c r="L10" s="18">
        <v>90</v>
      </c>
      <c r="M10" s="18">
        <v>90</v>
      </c>
      <c r="N10" s="18">
        <v>93</v>
      </c>
      <c r="O10" s="18">
        <v>90</v>
      </c>
      <c r="P10" s="18">
        <v>87</v>
      </c>
      <c r="Q10" s="1" t="str" cm="1">
        <f t="array" ref="Q10:U10">_xlfn.IFS(L10:P10&lt;=50,"D",L10:P10&lt;=70,"C",L10:P10&lt;=80,"B",L10:P10&lt;=90,"A",L10:P10&lt;=95,"A+")</f>
        <v>A</v>
      </c>
      <c r="R10" s="1" t="str">
        <v>A</v>
      </c>
      <c r="S10" s="1" t="str">
        <v>A+</v>
      </c>
      <c r="T10" s="1" t="str">
        <v>A</v>
      </c>
      <c r="U10" s="1" t="str">
        <v>A</v>
      </c>
    </row>
    <row r="11" spans="1:21">
      <c r="K11" s="1" t="s">
        <v>10</v>
      </c>
      <c r="L11" s="18">
        <v>90</v>
      </c>
      <c r="M11" s="18">
        <v>85</v>
      </c>
      <c r="N11" s="18">
        <v>85</v>
      </c>
      <c r="O11" s="18">
        <v>87</v>
      </c>
      <c r="P11" s="18">
        <v>89</v>
      </c>
      <c r="Q11" s="1" t="str" cm="1">
        <f t="array" ref="Q11:U11">_xlfn.IFS(L11:P11&lt;=50,"D",L11:P11&lt;=70,"C",L11:P11&lt;=80,"B",L11:P11&lt;=90,"A",L11:P11&lt;=95,"A+")</f>
        <v>A</v>
      </c>
      <c r="R11" s="1" t="str">
        <v>A</v>
      </c>
      <c r="S11" s="1" t="str">
        <v>A</v>
      </c>
      <c r="T11" s="1" t="str">
        <v>A</v>
      </c>
      <c r="U11" s="1" t="str">
        <v>A</v>
      </c>
    </row>
    <row r="12" spans="1:21">
      <c r="K12" s="1" t="s">
        <v>11</v>
      </c>
      <c r="L12" s="18">
        <v>85</v>
      </c>
      <c r="M12" s="18">
        <v>80</v>
      </c>
      <c r="N12" s="18">
        <v>97</v>
      </c>
      <c r="O12" s="18">
        <v>83</v>
      </c>
      <c r="P12" s="18">
        <v>82</v>
      </c>
      <c r="Q12" s="1" t="str" cm="1">
        <f t="array" ref="Q12:U12">_xlfn.IFS(L12:P12&lt;=50,"D",L12:P12&lt;=70,"C",L12:P12&lt;=80,"B",L12:P12&lt;=90,"A",L12:P12&lt;=95,"A+")</f>
        <v>A</v>
      </c>
      <c r="R12" s="1" t="str">
        <v>B</v>
      </c>
      <c r="S12" s="1" t="e">
        <v>#N/A</v>
      </c>
      <c r="T12" s="1" t="str">
        <v>A</v>
      </c>
      <c r="U12" s="1" t="str">
        <v>A</v>
      </c>
    </row>
    <row r="17" spans="1:23" ht="24">
      <c r="A17" s="103" t="s">
        <v>186</v>
      </c>
      <c r="B17" s="103"/>
      <c r="C17" s="103"/>
      <c r="D17" s="103"/>
      <c r="E17" s="103"/>
      <c r="F17" s="103"/>
      <c r="G17" s="103"/>
      <c r="H17" s="103"/>
      <c r="I17" s="103"/>
      <c r="J17" s="103"/>
      <c r="K17" s="103"/>
      <c r="L17" s="103"/>
      <c r="M17" s="103"/>
      <c r="Q17" s="104" t="s">
        <v>187</v>
      </c>
      <c r="R17" s="104"/>
      <c r="S17" s="104"/>
      <c r="T17" s="104"/>
      <c r="U17" s="104"/>
      <c r="V17" s="104"/>
      <c r="W17" s="104"/>
    </row>
    <row r="18" spans="1:23" ht="15.75">
      <c r="A18" s="32" t="s">
        <v>170</v>
      </c>
      <c r="B18" s="32" t="s">
        <v>171</v>
      </c>
      <c r="C18" s="32" t="s">
        <v>172</v>
      </c>
      <c r="D18" s="32" t="s">
        <v>173</v>
      </c>
      <c r="E18" s="32" t="s">
        <v>174</v>
      </c>
      <c r="G18" s="32" t="s">
        <v>32</v>
      </c>
      <c r="H18" s="32" t="s">
        <v>33</v>
      </c>
      <c r="I18" s="32" t="s">
        <v>34</v>
      </c>
      <c r="J18" s="32" t="s">
        <v>35</v>
      </c>
      <c r="K18" s="32" t="s">
        <v>36</v>
      </c>
      <c r="L18" s="32" t="s">
        <v>140</v>
      </c>
      <c r="M18" s="32" t="s">
        <v>185</v>
      </c>
      <c r="Q18" s="32" t="s">
        <v>32</v>
      </c>
      <c r="R18" s="32" t="s">
        <v>33</v>
      </c>
      <c r="S18" s="32" t="s">
        <v>34</v>
      </c>
      <c r="T18" s="32" t="s">
        <v>35</v>
      </c>
      <c r="U18" s="32" t="s">
        <v>36</v>
      </c>
      <c r="V18" s="32" t="s">
        <v>140</v>
      </c>
      <c r="W18" s="32" t="s">
        <v>185</v>
      </c>
    </row>
    <row r="19" spans="1:23">
      <c r="A19" s="1" t="s">
        <v>175</v>
      </c>
      <c r="B19" s="1">
        <v>80</v>
      </c>
      <c r="C19" s="1">
        <v>100</v>
      </c>
      <c r="D19" s="1">
        <v>90</v>
      </c>
      <c r="E19" s="1" t="str">
        <f>IF(AND(B19&gt;60,C19&gt;80,D19&gt;100),"good","bad")</f>
        <v>bad</v>
      </c>
      <c r="G19" s="1" t="s">
        <v>0</v>
      </c>
      <c r="H19" s="18">
        <v>85</v>
      </c>
      <c r="I19" s="18">
        <v>80</v>
      </c>
      <c r="J19" s="18">
        <v>99</v>
      </c>
      <c r="K19" s="18">
        <v>80</v>
      </c>
      <c r="L19" s="18">
        <v>80</v>
      </c>
      <c r="M19" s="1" t="str" cm="1">
        <f t="array" ref="M19">IF(AND(H19:L19&gt;=50),"PASS","FAIL")</f>
        <v>PASS</v>
      </c>
      <c r="Q19" s="1" t="s">
        <v>0</v>
      </c>
      <c r="R19" s="18">
        <v>85</v>
      </c>
      <c r="S19" s="18">
        <v>80</v>
      </c>
      <c r="T19" s="18">
        <v>99</v>
      </c>
      <c r="U19" s="18">
        <v>80</v>
      </c>
      <c r="V19" s="18">
        <v>80</v>
      </c>
      <c r="W19" s="1" t="str" cm="1">
        <f t="array" ref="W19">IF(OR(R19:V19&gt;=50),"PASS","FAIL")</f>
        <v>PASS</v>
      </c>
    </row>
    <row r="20" spans="1:23">
      <c r="A20" s="1" t="s">
        <v>176</v>
      </c>
      <c r="B20" s="1">
        <v>40</v>
      </c>
      <c r="C20" s="1">
        <v>45</v>
      </c>
      <c r="D20" s="1">
        <v>50</v>
      </c>
      <c r="E20" s="1" t="str">
        <f t="shared" ref="E20:E28" si="3">IF(AND(B20&gt;60,C20&gt;80,D20&gt;100),"good","bad")</f>
        <v>bad</v>
      </c>
      <c r="G20" s="1" t="s">
        <v>2</v>
      </c>
      <c r="H20" s="18">
        <v>90</v>
      </c>
      <c r="I20" s="18">
        <v>80</v>
      </c>
      <c r="J20" s="18">
        <v>75</v>
      </c>
      <c r="K20" s="18">
        <v>95</v>
      </c>
      <c r="L20" s="18">
        <v>80</v>
      </c>
      <c r="M20" s="1" t="str" cm="1">
        <f t="array" ref="M20">IF(AND(H20:L20&gt;=50),"PASS","FAIL")</f>
        <v>PASS</v>
      </c>
      <c r="Q20" s="1" t="s">
        <v>2</v>
      </c>
      <c r="R20" s="18">
        <v>90</v>
      </c>
      <c r="S20" s="18">
        <v>80</v>
      </c>
      <c r="T20" s="18">
        <v>75</v>
      </c>
      <c r="U20" s="18">
        <v>95</v>
      </c>
      <c r="V20" s="18">
        <v>80</v>
      </c>
      <c r="W20" s="1" t="str" cm="1">
        <f t="array" ref="W20">IF(OR(R20:V20&gt;=50),"PASS","FAIL")</f>
        <v>PASS</v>
      </c>
    </row>
    <row r="21" spans="1:23">
      <c r="A21" s="1" t="s">
        <v>177</v>
      </c>
      <c r="B21" s="1">
        <v>100</v>
      </c>
      <c r="C21" s="1">
        <v>120</v>
      </c>
      <c r="D21" s="1">
        <v>150</v>
      </c>
      <c r="E21" s="1" t="str">
        <f t="shared" si="3"/>
        <v>good</v>
      </c>
      <c r="G21" s="1" t="s">
        <v>3</v>
      </c>
      <c r="H21" s="18">
        <v>90</v>
      </c>
      <c r="I21" s="18">
        <v>75</v>
      </c>
      <c r="J21" s="18">
        <v>73</v>
      </c>
      <c r="K21" s="18">
        <v>90</v>
      </c>
      <c r="L21" s="18">
        <v>96</v>
      </c>
      <c r="M21" s="1" t="str" cm="1">
        <f t="array" ref="M21">IF(AND(H21:L21&gt;=50),"PASS","FAIL")</f>
        <v>PASS</v>
      </c>
      <c r="Q21" s="1" t="s">
        <v>3</v>
      </c>
      <c r="R21" s="18">
        <v>90</v>
      </c>
      <c r="S21" s="18">
        <v>75</v>
      </c>
      <c r="T21" s="18">
        <v>45</v>
      </c>
      <c r="U21" s="18">
        <v>90</v>
      </c>
      <c r="V21" s="18">
        <v>96</v>
      </c>
      <c r="W21" s="1" t="str" cm="1">
        <f t="array" ref="W21">IF(OR(R21:V21&gt;=50),"PASS","FAIL")</f>
        <v>PASS</v>
      </c>
    </row>
    <row r="22" spans="1:23">
      <c r="A22" s="1" t="s">
        <v>178</v>
      </c>
      <c r="B22" s="1">
        <v>90</v>
      </c>
      <c r="C22" s="1">
        <v>80</v>
      </c>
      <c r="D22" s="1">
        <v>100</v>
      </c>
      <c r="E22" s="1" t="str">
        <f t="shared" si="3"/>
        <v>bad</v>
      </c>
      <c r="G22" s="1" t="s">
        <v>4</v>
      </c>
      <c r="H22" s="18">
        <v>95</v>
      </c>
      <c r="I22" s="18">
        <v>80</v>
      </c>
      <c r="J22" s="18">
        <v>45</v>
      </c>
      <c r="K22" s="18">
        <v>92</v>
      </c>
      <c r="L22" s="18">
        <v>90</v>
      </c>
      <c r="M22" s="1" t="str" cm="1">
        <f t="array" ref="M22">IF(AND(H22:L22&gt;=50),"PASS","FAIL")</f>
        <v>FAIL</v>
      </c>
      <c r="Q22" s="1" t="s">
        <v>4</v>
      </c>
      <c r="R22" s="18">
        <v>95</v>
      </c>
      <c r="S22" s="18">
        <v>80</v>
      </c>
      <c r="T22" s="18">
        <v>45</v>
      </c>
      <c r="U22" s="18">
        <v>92</v>
      </c>
      <c r="V22" s="18">
        <v>90</v>
      </c>
      <c r="W22" s="1" t="str" cm="1">
        <f t="array" ref="W22">IF(OR(R22:V22&gt;=50),"PASS","FAIL")</f>
        <v>PASS</v>
      </c>
    </row>
    <row r="23" spans="1:23">
      <c r="A23" s="1" t="s">
        <v>179</v>
      </c>
      <c r="B23" s="1">
        <v>70</v>
      </c>
      <c r="C23" s="1">
        <v>60</v>
      </c>
      <c r="D23" s="1">
        <v>80</v>
      </c>
      <c r="E23" s="1" t="str">
        <f t="shared" si="3"/>
        <v>bad</v>
      </c>
      <c r="G23" s="1" t="s">
        <v>5</v>
      </c>
      <c r="H23" s="18">
        <v>80</v>
      </c>
      <c r="I23" s="18">
        <v>85</v>
      </c>
      <c r="J23" s="18">
        <v>70</v>
      </c>
      <c r="K23" s="18">
        <v>82</v>
      </c>
      <c r="L23" s="18">
        <v>86</v>
      </c>
      <c r="M23" s="1" t="str" cm="1">
        <f t="array" ref="M23">IF(AND(H23:L23&gt;=50),"PASS","FAIL")</f>
        <v>PASS</v>
      </c>
      <c r="Q23" s="1" t="s">
        <v>5</v>
      </c>
      <c r="R23" s="18">
        <v>80</v>
      </c>
      <c r="S23" s="18">
        <v>85</v>
      </c>
      <c r="T23" s="18">
        <v>70</v>
      </c>
      <c r="U23" s="18">
        <v>82</v>
      </c>
      <c r="V23" s="18">
        <v>86</v>
      </c>
      <c r="W23" s="1" t="str" cm="1">
        <f t="array" ref="W23">IF(OR(R23:V23&gt;=50),"PASS","FAIL")</f>
        <v>PASS</v>
      </c>
    </row>
    <row r="24" spans="1:23">
      <c r="A24" s="1" t="s">
        <v>180</v>
      </c>
      <c r="B24" s="1">
        <v>150</v>
      </c>
      <c r="C24" s="1">
        <v>180</v>
      </c>
      <c r="D24" s="1">
        <v>200</v>
      </c>
      <c r="E24" s="1" t="str">
        <f t="shared" si="3"/>
        <v>good</v>
      </c>
      <c r="G24" s="1" t="s">
        <v>6</v>
      </c>
      <c r="H24" s="18">
        <v>95</v>
      </c>
      <c r="I24" s="18">
        <v>90</v>
      </c>
      <c r="J24" s="18">
        <v>92</v>
      </c>
      <c r="K24" s="18">
        <v>89</v>
      </c>
      <c r="L24" s="18">
        <v>84</v>
      </c>
      <c r="M24" s="1" t="str" cm="1">
        <f t="array" ref="M24">IF(AND(H24:L24&gt;=50),"PASS","FAIL")</f>
        <v>PASS</v>
      </c>
      <c r="Q24" s="1" t="s">
        <v>6</v>
      </c>
      <c r="R24" s="18">
        <v>95</v>
      </c>
      <c r="S24" s="18">
        <v>90</v>
      </c>
      <c r="T24" s="18">
        <v>92</v>
      </c>
      <c r="U24" s="18">
        <v>89</v>
      </c>
      <c r="V24" s="18">
        <v>84</v>
      </c>
      <c r="W24" s="1" t="str" cm="1">
        <f t="array" ref="W24">IF(OR(R24:V24&gt;=50),"PASS","FAIL")</f>
        <v>PASS</v>
      </c>
    </row>
    <row r="25" spans="1:23">
      <c r="A25" s="1" t="s">
        <v>181</v>
      </c>
      <c r="B25" s="1">
        <v>170</v>
      </c>
      <c r="C25" s="1">
        <v>180</v>
      </c>
      <c r="D25" s="1">
        <v>200</v>
      </c>
      <c r="E25" s="1" t="str">
        <f t="shared" si="3"/>
        <v>good</v>
      </c>
      <c r="G25" s="1" t="s">
        <v>7</v>
      </c>
      <c r="H25" s="18">
        <v>85</v>
      </c>
      <c r="I25" s="18">
        <v>47</v>
      </c>
      <c r="J25" s="18">
        <v>78</v>
      </c>
      <c r="K25" s="18">
        <v>81</v>
      </c>
      <c r="L25" s="18">
        <v>79</v>
      </c>
      <c r="M25" s="1" t="str" cm="1">
        <f t="array" ref="M25">IF(AND(H25:L25&gt;=50),"PASS","FAIL")</f>
        <v>FAIL</v>
      </c>
      <c r="Q25" s="1" t="s">
        <v>7</v>
      </c>
      <c r="R25" s="18">
        <v>85</v>
      </c>
      <c r="S25" s="18">
        <v>47</v>
      </c>
      <c r="T25" s="18">
        <v>78</v>
      </c>
      <c r="U25" s="18">
        <v>81</v>
      </c>
      <c r="V25" s="18">
        <v>79</v>
      </c>
      <c r="W25" s="1" t="str" cm="1">
        <f t="array" ref="W25">IF(OR(R25:V25&gt;=50),"PASS","FAIL")</f>
        <v>PASS</v>
      </c>
    </row>
    <row r="26" spans="1:23">
      <c r="A26" s="1" t="s">
        <v>182</v>
      </c>
      <c r="B26" s="1">
        <v>100</v>
      </c>
      <c r="C26" s="1">
        <v>80</v>
      </c>
      <c r="D26" s="1">
        <v>110</v>
      </c>
      <c r="E26" s="1" t="str">
        <f t="shared" si="3"/>
        <v>bad</v>
      </c>
      <c r="G26" s="1" t="s">
        <v>9</v>
      </c>
      <c r="H26" s="18">
        <v>90</v>
      </c>
      <c r="I26" s="18">
        <v>90</v>
      </c>
      <c r="J26" s="18">
        <v>93</v>
      </c>
      <c r="K26" s="18">
        <v>90</v>
      </c>
      <c r="L26" s="18">
        <v>87</v>
      </c>
      <c r="M26" s="1" t="str" cm="1">
        <f t="array" ref="M26">IF(AND(H26:L26&gt;=50),"PASS","FAIL")</f>
        <v>PASS</v>
      </c>
      <c r="Q26" s="1" t="s">
        <v>9</v>
      </c>
      <c r="R26" s="18">
        <v>90</v>
      </c>
      <c r="S26" s="18">
        <v>90</v>
      </c>
      <c r="T26" s="18">
        <v>93</v>
      </c>
      <c r="U26" s="18">
        <v>90</v>
      </c>
      <c r="V26" s="18">
        <v>87</v>
      </c>
      <c r="W26" s="1" t="str" cm="1">
        <f t="array" ref="W26">IF(OR(R26:V26&gt;=50),"PASS","FAIL")</f>
        <v>PASS</v>
      </c>
    </row>
    <row r="27" spans="1:23">
      <c r="A27" s="1" t="s">
        <v>183</v>
      </c>
      <c r="B27" s="1">
        <v>100</v>
      </c>
      <c r="C27" s="1">
        <v>120</v>
      </c>
      <c r="D27" s="1">
        <v>150</v>
      </c>
      <c r="E27" s="1" t="str">
        <f t="shared" si="3"/>
        <v>good</v>
      </c>
      <c r="G27" s="1" t="s">
        <v>10</v>
      </c>
      <c r="H27" s="18">
        <v>90</v>
      </c>
      <c r="I27" s="18">
        <v>85</v>
      </c>
      <c r="J27" s="18">
        <v>85</v>
      </c>
      <c r="K27" s="18">
        <v>87</v>
      </c>
      <c r="L27" s="18">
        <v>89</v>
      </c>
      <c r="M27" s="1" t="str" cm="1">
        <f t="array" ref="M27">IF(AND(H27:L27&gt;=50),"PASS","FAIL")</f>
        <v>PASS</v>
      </c>
      <c r="Q27" s="1" t="s">
        <v>10</v>
      </c>
      <c r="R27" s="18">
        <v>90</v>
      </c>
      <c r="S27" s="18">
        <v>85</v>
      </c>
      <c r="T27" s="18">
        <v>85</v>
      </c>
      <c r="U27" s="18">
        <v>87</v>
      </c>
      <c r="V27" s="18">
        <v>89</v>
      </c>
      <c r="W27" s="1" t="str" cm="1">
        <f t="array" ref="W27">IF(OR(R27:V27&gt;=50),"PASS","FAIL")</f>
        <v>PASS</v>
      </c>
    </row>
    <row r="28" spans="1:23">
      <c r="A28" s="1" t="s">
        <v>184</v>
      </c>
      <c r="B28" s="1">
        <v>150</v>
      </c>
      <c r="C28" s="1">
        <v>160</v>
      </c>
      <c r="D28" s="1">
        <v>200</v>
      </c>
      <c r="E28" s="1" t="str">
        <f t="shared" si="3"/>
        <v>good</v>
      </c>
      <c r="G28" s="1" t="s">
        <v>11</v>
      </c>
      <c r="H28" s="18">
        <v>85</v>
      </c>
      <c r="I28" s="18">
        <v>80</v>
      </c>
      <c r="J28" s="18">
        <v>97</v>
      </c>
      <c r="K28" s="18">
        <v>83</v>
      </c>
      <c r="L28" s="18">
        <v>82</v>
      </c>
      <c r="M28" s="1" t="str" cm="1">
        <f t="array" ref="M28">IF(AND(H28:L28&gt;=50),"PASS","FAIL")</f>
        <v>PASS</v>
      </c>
      <c r="Q28" s="1" t="s">
        <v>11</v>
      </c>
      <c r="R28" s="18">
        <v>85</v>
      </c>
      <c r="S28" s="18">
        <v>80</v>
      </c>
      <c r="T28" s="18">
        <v>97</v>
      </c>
      <c r="U28" s="18">
        <v>83</v>
      </c>
      <c r="V28" s="18">
        <v>82</v>
      </c>
      <c r="W28" s="1" t="str" cm="1">
        <f t="array" ref="W28">IF(OR(R28:V28&gt;=50),"PASS","FAIL")</f>
        <v>PASS</v>
      </c>
    </row>
    <row r="33" spans="1:10" ht="24">
      <c r="A33" s="103" t="s">
        <v>189</v>
      </c>
      <c r="B33" s="103"/>
      <c r="C33" s="103"/>
      <c r="D33" s="103"/>
      <c r="E33" s="103"/>
      <c r="F33" s="103"/>
      <c r="G33" s="103"/>
      <c r="H33" s="103"/>
      <c r="I33" s="103"/>
      <c r="J33" s="103"/>
    </row>
    <row r="34" spans="1:10" ht="15.75">
      <c r="A34" s="32" t="s">
        <v>31</v>
      </c>
      <c r="B34" s="32" t="s">
        <v>32</v>
      </c>
      <c r="C34" s="32" t="s">
        <v>33</v>
      </c>
      <c r="D34" s="32" t="s">
        <v>34</v>
      </c>
      <c r="E34" s="32" t="s">
        <v>35</v>
      </c>
      <c r="F34" s="32" t="s">
        <v>36</v>
      </c>
      <c r="G34" s="32" t="s">
        <v>140</v>
      </c>
      <c r="H34" s="32" t="s">
        <v>38</v>
      </c>
      <c r="I34" s="32" t="s">
        <v>185</v>
      </c>
      <c r="J34" s="32" t="s">
        <v>188</v>
      </c>
    </row>
    <row r="35" spans="1:10">
      <c r="A35" s="1">
        <v>1</v>
      </c>
      <c r="B35" s="1" t="s">
        <v>0</v>
      </c>
      <c r="C35" s="18">
        <v>85</v>
      </c>
      <c r="D35" s="18">
        <v>80</v>
      </c>
      <c r="E35" s="18">
        <v>99</v>
      </c>
      <c r="F35" s="18">
        <v>80</v>
      </c>
      <c r="G35" s="18">
        <v>80</v>
      </c>
      <c r="H35" s="1">
        <f>SUM(C35:G35)</f>
        <v>424</v>
      </c>
      <c r="I35" s="1" t="str" cm="1">
        <f t="array" ref="I35">IF(OR(C35:H35&gt;=50),"PASS","FAIL")</f>
        <v>PASS</v>
      </c>
      <c r="J35" s="1">
        <f>IF(I35="PASS",RANK(H35,H35:H44,0),"NO RANK")</f>
        <v>5</v>
      </c>
    </row>
    <row r="36" spans="1:10">
      <c r="A36" s="1">
        <v>2</v>
      </c>
      <c r="B36" s="1" t="s">
        <v>2</v>
      </c>
      <c r="C36" s="18">
        <v>90</v>
      </c>
      <c r="D36" s="18">
        <v>80</v>
      </c>
      <c r="E36" s="18">
        <v>75</v>
      </c>
      <c r="F36" s="18">
        <v>95</v>
      </c>
      <c r="G36" s="18">
        <v>80</v>
      </c>
      <c r="H36" s="1">
        <f t="shared" ref="H36:H44" si="4">SUM(C36:G36)</f>
        <v>420</v>
      </c>
      <c r="I36" s="1" t="str" cm="1">
        <f t="array" ref="I36">IF(OR(C36:H36&gt;=50),"PASS","FAIL")</f>
        <v>PASS</v>
      </c>
      <c r="J36" s="1">
        <f t="shared" ref="J36:J44" si="5">IF(I36="PASS",RANK(H36,H36:H45,0),"NO RANK")</f>
        <v>6</v>
      </c>
    </row>
    <row r="37" spans="1:10">
      <c r="A37" s="1">
        <v>3</v>
      </c>
      <c r="B37" s="1" t="s">
        <v>3</v>
      </c>
      <c r="C37" s="18">
        <v>90</v>
      </c>
      <c r="D37" s="18">
        <v>75</v>
      </c>
      <c r="E37" s="18">
        <v>73</v>
      </c>
      <c r="F37" s="18">
        <v>90</v>
      </c>
      <c r="G37" s="18">
        <v>96</v>
      </c>
      <c r="H37" s="1">
        <f t="shared" si="4"/>
        <v>424</v>
      </c>
      <c r="I37" s="1" t="str" cm="1">
        <f t="array" ref="I37">IF(OR(C37:H37&gt;=50),"PASS","FAIL")</f>
        <v>PASS</v>
      </c>
      <c r="J37" s="1">
        <f t="shared" si="5"/>
        <v>5</v>
      </c>
    </row>
    <row r="38" spans="1:10">
      <c r="A38" s="1">
        <v>4</v>
      </c>
      <c r="B38" s="1" t="s">
        <v>4</v>
      </c>
      <c r="C38" s="18">
        <v>95</v>
      </c>
      <c r="D38" s="18">
        <v>80</v>
      </c>
      <c r="E38" s="18">
        <v>45</v>
      </c>
      <c r="F38" s="18">
        <v>92</v>
      </c>
      <c r="G38" s="18">
        <v>90</v>
      </c>
      <c r="H38" s="1">
        <f t="shared" si="4"/>
        <v>402</v>
      </c>
      <c r="I38" s="1" t="str" cm="1">
        <f t="array" ref="I38">IF(OR(C38:H38&gt;=50),"PASS","FAIL")</f>
        <v>PASS</v>
      </c>
      <c r="J38" s="1">
        <f t="shared" si="5"/>
        <v>6</v>
      </c>
    </row>
    <row r="39" spans="1:10">
      <c r="A39" s="1">
        <v>5</v>
      </c>
      <c r="B39" s="1" t="s">
        <v>5</v>
      </c>
      <c r="C39" s="18">
        <v>80</v>
      </c>
      <c r="D39" s="18">
        <v>85</v>
      </c>
      <c r="E39" s="18">
        <v>70</v>
      </c>
      <c r="F39" s="18">
        <v>82</v>
      </c>
      <c r="G39" s="18">
        <v>86</v>
      </c>
      <c r="H39" s="1">
        <f t="shared" si="4"/>
        <v>403</v>
      </c>
      <c r="I39" s="1" t="str" cm="1">
        <f t="array" ref="I39">IF(OR(C39:H39&gt;=50),"PASS","FAIL")</f>
        <v>PASS</v>
      </c>
      <c r="J39" s="1">
        <f t="shared" si="5"/>
        <v>5</v>
      </c>
    </row>
    <row r="40" spans="1:10">
      <c r="A40" s="1">
        <v>6</v>
      </c>
      <c r="B40" s="1" t="s">
        <v>6</v>
      </c>
      <c r="C40" s="18">
        <v>95</v>
      </c>
      <c r="D40" s="18">
        <v>90</v>
      </c>
      <c r="E40" s="18">
        <v>92</v>
      </c>
      <c r="F40" s="18">
        <v>89</v>
      </c>
      <c r="G40" s="18">
        <v>84</v>
      </c>
      <c r="H40" s="1">
        <f t="shared" si="4"/>
        <v>450</v>
      </c>
      <c r="I40" s="1" t="str" cm="1">
        <f t="array" ref="I40">IF(OR(C40:H40&gt;=50),"PASS","FAIL")</f>
        <v>PASS</v>
      </c>
      <c r="J40" s="1">
        <f t="shared" si="5"/>
        <v>1</v>
      </c>
    </row>
    <row r="41" spans="1:10">
      <c r="A41" s="1">
        <v>7</v>
      </c>
      <c r="B41" s="1" t="s">
        <v>7</v>
      </c>
      <c r="C41" s="18">
        <v>85</v>
      </c>
      <c r="D41" s="18">
        <v>47</v>
      </c>
      <c r="E41" s="18">
        <v>78</v>
      </c>
      <c r="F41" s="18">
        <v>81</v>
      </c>
      <c r="G41" s="18">
        <v>79</v>
      </c>
      <c r="H41" s="1">
        <f t="shared" si="4"/>
        <v>370</v>
      </c>
      <c r="I41" s="1" t="str" cm="1">
        <f t="array" ref="I41">IF(OR(C41:H41&gt;=50),"PASS","FAIL")</f>
        <v>PASS</v>
      </c>
      <c r="J41" s="1">
        <f t="shared" si="5"/>
        <v>4</v>
      </c>
    </row>
    <row r="42" spans="1:10">
      <c r="A42" s="1">
        <v>8</v>
      </c>
      <c r="B42" s="1" t="s">
        <v>9</v>
      </c>
      <c r="C42" s="18">
        <v>90</v>
      </c>
      <c r="D42" s="18">
        <v>90</v>
      </c>
      <c r="E42" s="18">
        <v>93</v>
      </c>
      <c r="F42" s="18">
        <v>90</v>
      </c>
      <c r="G42" s="18">
        <v>87</v>
      </c>
      <c r="H42" s="1">
        <f t="shared" si="4"/>
        <v>450</v>
      </c>
      <c r="I42" s="1" t="str" cm="1">
        <f t="array" ref="I42">IF(OR(C42:H42&gt;=50),"PASS","FAIL")</f>
        <v>PASS</v>
      </c>
      <c r="J42" s="1">
        <f t="shared" si="5"/>
        <v>1</v>
      </c>
    </row>
    <row r="43" spans="1:10">
      <c r="A43" s="1">
        <v>9</v>
      </c>
      <c r="B43" s="1" t="s">
        <v>10</v>
      </c>
      <c r="C43" s="18">
        <v>90</v>
      </c>
      <c r="D43" s="18">
        <v>85</v>
      </c>
      <c r="E43" s="18">
        <v>85</v>
      </c>
      <c r="F43" s="18">
        <v>87</v>
      </c>
      <c r="G43" s="18">
        <v>89</v>
      </c>
      <c r="H43" s="1">
        <f t="shared" si="4"/>
        <v>436</v>
      </c>
      <c r="I43" s="1" t="str" cm="1">
        <f t="array" ref="I43">IF(OR(C43:H43&gt;=50),"PASS","FAIL")</f>
        <v>PASS</v>
      </c>
      <c r="J43" s="1">
        <f t="shared" si="5"/>
        <v>1</v>
      </c>
    </row>
    <row r="44" spans="1:10">
      <c r="A44" s="1">
        <v>10</v>
      </c>
      <c r="B44" s="1" t="s">
        <v>11</v>
      </c>
      <c r="C44" s="18">
        <v>85</v>
      </c>
      <c r="D44" s="18">
        <v>80</v>
      </c>
      <c r="E44" s="18">
        <v>97</v>
      </c>
      <c r="F44" s="18">
        <v>83</v>
      </c>
      <c r="G44" s="18">
        <v>82</v>
      </c>
      <c r="H44" s="1">
        <f t="shared" si="4"/>
        <v>427</v>
      </c>
      <c r="I44" s="1" t="str" cm="1">
        <f t="array" ref="I44">IF(OR(C44:H44&gt;=50),"PASS","FAIL")</f>
        <v>PASS</v>
      </c>
      <c r="J44" s="1">
        <f t="shared" si="5"/>
        <v>1</v>
      </c>
    </row>
  </sheetData>
  <mergeCells count="6">
    <mergeCell ref="A33:J33"/>
    <mergeCell ref="E2:G2"/>
    <mergeCell ref="A1:G1"/>
    <mergeCell ref="K1:U1"/>
    <mergeCell ref="A17:M17"/>
    <mergeCell ref="Q17:W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63769-5D0A-42E5-B8AB-288912436875}">
  <dimension ref="A1:G21"/>
  <sheetViews>
    <sheetView workbookViewId="0">
      <selection activeCell="D17" sqref="D17"/>
    </sheetView>
  </sheetViews>
  <sheetFormatPr defaultRowHeight="15"/>
  <cols>
    <col min="1" max="1" width="14.5703125" customWidth="1"/>
    <col min="2" max="2" width="12.85546875" customWidth="1"/>
    <col min="4" max="4" width="13.7109375" customWidth="1"/>
    <col min="5" max="5" width="17.28515625" customWidth="1"/>
  </cols>
  <sheetData>
    <row r="1" spans="1:7" ht="29.25" customHeight="1">
      <c r="C1" s="105" t="s">
        <v>58</v>
      </c>
      <c r="D1" s="105"/>
      <c r="E1" s="105"/>
      <c r="F1" s="105"/>
      <c r="G1" s="105"/>
    </row>
    <row r="3" spans="1:7">
      <c r="A3" s="8" t="s">
        <v>54</v>
      </c>
      <c r="D3" s="8" t="s">
        <v>54</v>
      </c>
    </row>
    <row r="4" spans="1:7">
      <c r="A4" s="1" t="s">
        <v>55</v>
      </c>
      <c r="B4" s="1">
        <v>500000</v>
      </c>
      <c r="D4" s="1" t="s">
        <v>55</v>
      </c>
      <c r="E4" s="1">
        <v>500000</v>
      </c>
    </row>
    <row r="5" spans="1:7">
      <c r="A5" s="1" t="s">
        <v>56</v>
      </c>
      <c r="B5" s="9">
        <v>0.08</v>
      </c>
      <c r="D5" s="1" t="s">
        <v>56</v>
      </c>
      <c r="E5" s="9">
        <v>0.09</v>
      </c>
    </row>
    <row r="6" spans="1:7">
      <c r="A6" s="1" t="s">
        <v>57</v>
      </c>
      <c r="B6" s="1">
        <v>60</v>
      </c>
      <c r="D6" s="1" t="s">
        <v>57</v>
      </c>
      <c r="E6" s="1">
        <v>60</v>
      </c>
    </row>
    <row r="7" spans="1:7">
      <c r="A7" s="1" t="s">
        <v>54</v>
      </c>
      <c r="B7" s="10">
        <f>PMT(B5/12,B6,-B4)</f>
        <v>10138.197144206841</v>
      </c>
      <c r="D7" s="1" t="s">
        <v>54</v>
      </c>
      <c r="E7" s="11">
        <f>PMT(E5/12,E6,-E4)</f>
        <v>10379.177613177004</v>
      </c>
    </row>
    <row r="10" spans="1:7">
      <c r="A10" s="8" t="s">
        <v>59</v>
      </c>
      <c r="D10" s="8" t="s">
        <v>60</v>
      </c>
    </row>
    <row r="11" spans="1:7">
      <c r="A11" s="1" t="s">
        <v>55</v>
      </c>
      <c r="B11" s="1">
        <v>5000</v>
      </c>
      <c r="D11" s="1" t="s">
        <v>62</v>
      </c>
      <c r="E11" s="1">
        <v>17088.810000000001</v>
      </c>
    </row>
    <row r="12" spans="1:7">
      <c r="A12" s="1" t="s">
        <v>56</v>
      </c>
      <c r="B12" s="9">
        <v>0.08</v>
      </c>
      <c r="D12" s="1" t="s">
        <v>56</v>
      </c>
      <c r="E12" s="9">
        <v>0.14000000000000001</v>
      </c>
    </row>
    <row r="13" spans="1:7">
      <c r="A13" s="1" t="s">
        <v>57</v>
      </c>
      <c r="B13" s="1">
        <v>60</v>
      </c>
      <c r="D13" s="1" t="s">
        <v>63</v>
      </c>
      <c r="E13" s="1">
        <v>36</v>
      </c>
    </row>
    <row r="14" spans="1:7">
      <c r="A14" s="1" t="s">
        <v>59</v>
      </c>
      <c r="B14" s="10">
        <f>FV(B12/12,B13,-B11)</f>
        <v>367384.28122620453</v>
      </c>
      <c r="D14" s="1" t="s">
        <v>60</v>
      </c>
      <c r="E14" s="11">
        <f>FV(E12/12,E13,-E11)</f>
        <v>759132.78035446501</v>
      </c>
    </row>
    <row r="17" spans="1:2">
      <c r="A17" s="8" t="s">
        <v>61</v>
      </c>
    </row>
    <row r="18" spans="1:2">
      <c r="A18" s="1" t="s">
        <v>55</v>
      </c>
      <c r="B18" s="1">
        <v>100000</v>
      </c>
    </row>
    <row r="19" spans="1:2">
      <c r="A19" s="1" t="s">
        <v>56</v>
      </c>
      <c r="B19" s="9">
        <v>7.0000000000000007E-2</v>
      </c>
    </row>
    <row r="20" spans="1:2">
      <c r="A20" s="1" t="s">
        <v>54</v>
      </c>
      <c r="B20" s="1">
        <v>2000</v>
      </c>
    </row>
    <row r="21" spans="1:2">
      <c r="A21" s="1" t="s">
        <v>61</v>
      </c>
      <c r="B21" s="40">
        <f>NPER(B19/12,B20,-B18)</f>
        <v>59.287765035203044</v>
      </c>
    </row>
  </sheetData>
  <mergeCells count="1">
    <mergeCell ref="C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8F75-6C19-4B56-83AC-529EAF3CB077}">
  <dimension ref="B1:I38"/>
  <sheetViews>
    <sheetView workbookViewId="0">
      <selection activeCell="I5" sqref="I5"/>
    </sheetView>
  </sheetViews>
  <sheetFormatPr defaultRowHeight="15"/>
  <cols>
    <col min="2" max="2" width="16.85546875" customWidth="1"/>
    <col min="3" max="3" width="15" customWidth="1"/>
    <col min="6" max="6" width="20.5703125" customWidth="1"/>
    <col min="7" max="7" width="15.85546875" customWidth="1"/>
    <col min="8" max="8" width="15.7109375" customWidth="1"/>
  </cols>
  <sheetData>
    <row r="1" spans="2:9" ht="26.25" customHeight="1">
      <c r="D1" s="92" t="s">
        <v>64</v>
      </c>
      <c r="E1" s="92"/>
      <c r="F1" s="92"/>
      <c r="G1" s="92"/>
      <c r="H1" s="92"/>
      <c r="I1" s="92"/>
    </row>
    <row r="3" spans="2:9">
      <c r="B3" s="25" t="s">
        <v>65</v>
      </c>
      <c r="F3" s="74" t="s">
        <v>77</v>
      </c>
      <c r="G3" s="74"/>
    </row>
    <row r="4" spans="2:9">
      <c r="B4" s="12">
        <f ca="1">TODAY()</f>
        <v>46308</v>
      </c>
      <c r="F4" s="75" t="s">
        <v>78</v>
      </c>
      <c r="G4" s="75"/>
    </row>
    <row r="5" spans="2:9">
      <c r="F5" s="12">
        <v>38464</v>
      </c>
      <c r="G5" s="1">
        <f>WEEKDAY(F5)</f>
        <v>6</v>
      </c>
    </row>
    <row r="6" spans="2:9">
      <c r="B6" s="25" t="s">
        <v>66</v>
      </c>
      <c r="F6" s="12">
        <v>39280</v>
      </c>
      <c r="G6" s="1">
        <f t="shared" ref="G6:G8" si="0">WEEKDAY(F6)</f>
        <v>3</v>
      </c>
    </row>
    <row r="7" spans="2:9">
      <c r="B7" s="13">
        <f ca="1">NOW()</f>
        <v>46308.514168402777</v>
      </c>
      <c r="F7" s="12">
        <v>30586</v>
      </c>
      <c r="G7" s="1">
        <f t="shared" si="0"/>
        <v>3</v>
      </c>
    </row>
    <row r="8" spans="2:9">
      <c r="F8" s="12">
        <v>27124</v>
      </c>
      <c r="G8" s="1">
        <f t="shared" si="0"/>
        <v>6</v>
      </c>
    </row>
    <row r="10" spans="2:9">
      <c r="B10" s="25" t="s">
        <v>67</v>
      </c>
    </row>
    <row r="11" spans="2:9">
      <c r="B11" s="12">
        <f>DATE(2026,9,5)</f>
        <v>46270</v>
      </c>
      <c r="F11" s="74" t="s">
        <v>126</v>
      </c>
      <c r="G11" s="74"/>
      <c r="H11" s="74"/>
    </row>
    <row r="12" spans="2:9">
      <c r="F12" s="12">
        <v>38464</v>
      </c>
      <c r="G12" s="12">
        <v>38832</v>
      </c>
      <c r="H12" s="1">
        <f>DATEDIF(F12,G12,"YD")</f>
        <v>3</v>
      </c>
      <c r="I12" s="1" t="s">
        <v>215</v>
      </c>
    </row>
    <row r="13" spans="2:9">
      <c r="B13" s="74" t="s">
        <v>68</v>
      </c>
      <c r="C13" s="74"/>
      <c r="F13" s="12">
        <v>39280</v>
      </c>
      <c r="G13" s="12">
        <v>39656</v>
      </c>
      <c r="H13" s="1">
        <f>DATEDIF(F13,G13,"m")</f>
        <v>12</v>
      </c>
      <c r="I13" s="1" t="s">
        <v>216</v>
      </c>
    </row>
    <row r="14" spans="2:9">
      <c r="B14" s="12">
        <v>38464</v>
      </c>
      <c r="C14" s="1">
        <f>DAY(B14)</f>
        <v>22</v>
      </c>
      <c r="F14" s="12">
        <v>45905</v>
      </c>
      <c r="G14" s="12">
        <v>46280</v>
      </c>
      <c r="H14" s="1">
        <f>DATEDIF(F14,G14,"d")</f>
        <v>375</v>
      </c>
      <c r="I14" s="1" t="s">
        <v>154</v>
      </c>
    </row>
    <row r="16" spans="2:9">
      <c r="B16" s="74" t="s">
        <v>69</v>
      </c>
      <c r="C16" s="74"/>
    </row>
    <row r="17" spans="2:3">
      <c r="B17" s="12">
        <v>39280</v>
      </c>
      <c r="C17" s="1">
        <f>MONTH(B17)</f>
        <v>7</v>
      </c>
    </row>
    <row r="19" spans="2:3">
      <c r="B19" s="74" t="s">
        <v>70</v>
      </c>
      <c r="C19" s="74"/>
    </row>
    <row r="20" spans="2:3">
      <c r="B20" s="12">
        <v>38464</v>
      </c>
      <c r="C20" s="1">
        <f>YEAR(B20)</f>
        <v>2005</v>
      </c>
    </row>
    <row r="22" spans="2:3">
      <c r="B22" s="25" t="s">
        <v>71</v>
      </c>
    </row>
    <row r="23" spans="2:3">
      <c r="B23" s="14">
        <f>TIME(5,15,25)</f>
        <v>0.21903935185185186</v>
      </c>
    </row>
    <row r="25" spans="2:3">
      <c r="B25" s="74" t="s">
        <v>72</v>
      </c>
      <c r="C25" s="74"/>
    </row>
    <row r="26" spans="2:3">
      <c r="B26" s="14">
        <v>0.72916666666666663</v>
      </c>
      <c r="C26" s="1">
        <f>HOUR(B26)</f>
        <v>17</v>
      </c>
    </row>
    <row r="28" spans="2:3">
      <c r="B28" s="74" t="s">
        <v>73</v>
      </c>
      <c r="C28" s="74"/>
    </row>
    <row r="29" spans="2:3">
      <c r="B29" s="14">
        <v>6.9444444444444447E-4</v>
      </c>
      <c r="C29" s="1">
        <f>MINUTE(B29)</f>
        <v>1</v>
      </c>
    </row>
    <row r="31" spans="2:3">
      <c r="B31" s="74" t="s">
        <v>74</v>
      </c>
      <c r="C31" s="74"/>
    </row>
    <row r="32" spans="2:3">
      <c r="B32" s="15">
        <v>4.2372685185185187E-2</v>
      </c>
      <c r="C32" s="1">
        <f>SECOND(B32)</f>
        <v>1</v>
      </c>
    </row>
    <row r="34" spans="2:3">
      <c r="B34" s="74" t="s">
        <v>75</v>
      </c>
      <c r="C34" s="74"/>
    </row>
    <row r="35" spans="2:3">
      <c r="B35" s="1">
        <f>DATEVALUE("5-9-2026")</f>
        <v>46270</v>
      </c>
      <c r="C35" s="12">
        <v>46270</v>
      </c>
    </row>
    <row r="37" spans="2:3">
      <c r="B37" s="74" t="s">
        <v>76</v>
      </c>
      <c r="C37" s="74"/>
    </row>
    <row r="38" spans="2:3">
      <c r="B38" s="1">
        <f>TIMEVALUE("11:28 PM")</f>
        <v>0.97777777777777775</v>
      </c>
      <c r="C38" s="14">
        <v>0.97777777777777775</v>
      </c>
    </row>
  </sheetData>
  <mergeCells count="12">
    <mergeCell ref="B28:C28"/>
    <mergeCell ref="B31:C31"/>
    <mergeCell ref="B34:C34"/>
    <mergeCell ref="B37:C37"/>
    <mergeCell ref="F3:G3"/>
    <mergeCell ref="F4:G4"/>
    <mergeCell ref="F11:H11"/>
    <mergeCell ref="D1:I1"/>
    <mergeCell ref="B13:C13"/>
    <mergeCell ref="B16:C16"/>
    <mergeCell ref="B19:C19"/>
    <mergeCell ref="B25: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9A1E-D2DC-446A-8B01-FAD1E75E5DBA}">
  <dimension ref="A2:E25"/>
  <sheetViews>
    <sheetView workbookViewId="0">
      <selection activeCell="G10" sqref="G10"/>
    </sheetView>
  </sheetViews>
  <sheetFormatPr defaultRowHeight="15"/>
  <cols>
    <col min="1" max="1" width="19.85546875" customWidth="1"/>
    <col min="2" max="2" width="20.5703125" customWidth="1"/>
    <col min="3" max="3" width="21.7109375" customWidth="1"/>
    <col min="4" max="4" width="20.85546875" customWidth="1"/>
    <col min="5" max="5" width="21.7109375" customWidth="1"/>
  </cols>
  <sheetData>
    <row r="2" spans="1:5" ht="18.75">
      <c r="A2" s="107" t="s">
        <v>79</v>
      </c>
      <c r="B2" s="107"/>
      <c r="C2" s="107"/>
      <c r="D2" s="107"/>
      <c r="E2" s="107"/>
    </row>
    <row r="3" spans="1:5">
      <c r="A3" s="24" t="s">
        <v>32</v>
      </c>
      <c r="B3" s="24" t="s">
        <v>80</v>
      </c>
      <c r="C3" s="24" t="s">
        <v>81</v>
      </c>
      <c r="D3" s="24" t="s">
        <v>82</v>
      </c>
      <c r="E3" s="24" t="s">
        <v>83</v>
      </c>
    </row>
    <row r="4" spans="1:5">
      <c r="A4" s="18" t="s">
        <v>84</v>
      </c>
      <c r="B4" s="18" t="s">
        <v>92</v>
      </c>
      <c r="C4" s="18">
        <v>78</v>
      </c>
      <c r="D4" s="18">
        <v>92</v>
      </c>
      <c r="E4" s="18" t="s">
        <v>100</v>
      </c>
    </row>
    <row r="5" spans="1:5">
      <c r="A5" s="18" t="s">
        <v>91</v>
      </c>
      <c r="B5" s="18" t="s">
        <v>92</v>
      </c>
      <c r="C5" s="18">
        <v>45</v>
      </c>
      <c r="D5" s="18">
        <v>75</v>
      </c>
      <c r="E5" s="18" t="s">
        <v>101</v>
      </c>
    </row>
    <row r="6" spans="1:5">
      <c r="A6" s="1" t="s">
        <v>88</v>
      </c>
      <c r="B6" s="1" t="s">
        <v>93</v>
      </c>
      <c r="C6" s="1">
        <v>91</v>
      </c>
      <c r="D6" s="1">
        <v>96</v>
      </c>
      <c r="E6" s="1" t="s">
        <v>100</v>
      </c>
    </row>
    <row r="7" spans="1:5">
      <c r="A7" s="1" t="s">
        <v>85</v>
      </c>
      <c r="B7" s="1" t="s">
        <v>94</v>
      </c>
      <c r="C7" s="1"/>
      <c r="D7" s="1">
        <v>82</v>
      </c>
      <c r="E7" s="1" t="s">
        <v>102</v>
      </c>
    </row>
    <row r="8" spans="1:5">
      <c r="A8" s="1" t="s">
        <v>86</v>
      </c>
      <c r="B8" s="1" t="s">
        <v>93</v>
      </c>
      <c r="C8" s="1">
        <v>72</v>
      </c>
      <c r="D8" s="1"/>
      <c r="E8" s="1" t="s">
        <v>100</v>
      </c>
    </row>
    <row r="9" spans="1:5">
      <c r="A9" s="1" t="s">
        <v>87</v>
      </c>
      <c r="B9" s="18" t="s">
        <v>92</v>
      </c>
      <c r="C9" s="1">
        <v>58</v>
      </c>
      <c r="D9" s="1">
        <v>85</v>
      </c>
      <c r="E9" s="1" t="s">
        <v>100</v>
      </c>
    </row>
    <row r="10" spans="1:5">
      <c r="A10" s="1" t="s">
        <v>89</v>
      </c>
      <c r="B10" s="1" t="s">
        <v>94</v>
      </c>
      <c r="C10" s="1">
        <v>39</v>
      </c>
      <c r="D10" s="1">
        <v>70</v>
      </c>
      <c r="E10" s="1" t="s">
        <v>101</v>
      </c>
    </row>
    <row r="11" spans="1:5">
      <c r="A11" s="1" t="s">
        <v>90</v>
      </c>
      <c r="B11" s="18" t="s">
        <v>92</v>
      </c>
      <c r="C11" s="1"/>
      <c r="D11" s="1">
        <v>89</v>
      </c>
      <c r="E11" s="1" t="s">
        <v>102</v>
      </c>
    </row>
    <row r="14" spans="1:5" ht="18.75">
      <c r="A14" s="106" t="s">
        <v>95</v>
      </c>
      <c r="B14" s="106"/>
      <c r="C14" s="106"/>
      <c r="D14" s="106"/>
      <c r="E14" s="106"/>
    </row>
    <row r="15" spans="1:5">
      <c r="A15" s="23" t="s">
        <v>98</v>
      </c>
      <c r="B15" s="80" t="s">
        <v>103</v>
      </c>
      <c r="C15" s="81"/>
      <c r="D15" s="82"/>
      <c r="E15" s="1">
        <f>COUNT(C4:C11)</f>
        <v>6</v>
      </c>
    </row>
    <row r="16" spans="1:5">
      <c r="A16" s="23" t="s">
        <v>96</v>
      </c>
      <c r="B16" s="80" t="s">
        <v>104</v>
      </c>
      <c r="C16" s="81"/>
      <c r="D16" s="82"/>
      <c r="E16" s="1">
        <f>COUNTBLANK(C4:C11)</f>
        <v>2</v>
      </c>
    </row>
    <row r="17" spans="1:5">
      <c r="A17" s="23" t="s">
        <v>97</v>
      </c>
      <c r="B17" s="80" t="s">
        <v>105</v>
      </c>
      <c r="C17" s="81"/>
      <c r="D17" s="82"/>
      <c r="E17" s="1">
        <f>COUNTIF(B4:B11,"sales")</f>
        <v>4</v>
      </c>
    </row>
    <row r="18" spans="1:5" ht="39" customHeight="1">
      <c r="A18" s="23" t="s">
        <v>99</v>
      </c>
      <c r="B18" s="77" t="s">
        <v>106</v>
      </c>
      <c r="C18" s="78"/>
      <c r="D18" s="79"/>
      <c r="E18" s="1">
        <f>COUNTIFS(B4:B11,"it",C4:C11,"&gt;=80")</f>
        <v>1</v>
      </c>
    </row>
    <row r="21" spans="1:5" ht="15.75">
      <c r="A21" s="76"/>
      <c r="B21" s="76"/>
      <c r="C21" s="76"/>
      <c r="D21" s="76"/>
      <c r="E21" s="76"/>
    </row>
    <row r="22" spans="1:5" ht="15.75">
      <c r="A22" s="76"/>
      <c r="B22" s="76"/>
      <c r="C22" s="76"/>
      <c r="D22" s="76"/>
      <c r="E22" s="76"/>
    </row>
    <row r="23" spans="1:5" ht="15.75">
      <c r="A23" s="76"/>
      <c r="B23" s="76"/>
      <c r="C23" s="76"/>
      <c r="D23" s="76"/>
      <c r="E23" s="76"/>
    </row>
    <row r="24" spans="1:5" ht="15.75">
      <c r="A24" s="76"/>
      <c r="B24" s="76"/>
      <c r="C24" s="76"/>
      <c r="D24" s="76"/>
      <c r="E24" s="76"/>
    </row>
    <row r="25" spans="1:5" ht="15.75">
      <c r="A25" s="76"/>
      <c r="B25" s="76"/>
      <c r="C25" s="76"/>
      <c r="D25" s="76"/>
      <c r="E25" s="76"/>
    </row>
  </sheetData>
  <mergeCells count="11">
    <mergeCell ref="A2:E2"/>
    <mergeCell ref="A14:E14"/>
    <mergeCell ref="B15:D15"/>
    <mergeCell ref="B16:D16"/>
    <mergeCell ref="B17:D17"/>
    <mergeCell ref="A22:E22"/>
    <mergeCell ref="A23:E23"/>
    <mergeCell ref="A24:E24"/>
    <mergeCell ref="A25:E25"/>
    <mergeCell ref="B18:D18"/>
    <mergeCell ref="A21:E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A6BA-9575-4AF8-831B-A807E5025A60}">
  <dimension ref="A2:I14"/>
  <sheetViews>
    <sheetView workbookViewId="0">
      <selection activeCell="H8" sqref="H8"/>
    </sheetView>
  </sheetViews>
  <sheetFormatPr defaultRowHeight="15"/>
  <cols>
    <col min="1" max="1" width="21.42578125" customWidth="1"/>
    <col min="2" max="2" width="27" customWidth="1"/>
    <col min="3" max="3" width="25.5703125" style="27" customWidth="1"/>
    <col min="4" max="4" width="27.85546875" customWidth="1"/>
    <col min="5" max="5" width="30.7109375" customWidth="1"/>
    <col min="6" max="6" width="28.7109375" customWidth="1"/>
    <col min="7" max="7" width="10.85546875" customWidth="1"/>
    <col min="8" max="8" width="12.28515625" customWidth="1"/>
    <col min="9" max="9" width="13.85546875" customWidth="1"/>
  </cols>
  <sheetData>
    <row r="2" spans="1:9">
      <c r="A2" s="83" t="s">
        <v>385</v>
      </c>
      <c r="B2" s="83"/>
      <c r="C2" s="83"/>
      <c r="D2" s="83"/>
      <c r="E2" s="83"/>
      <c r="F2" s="83"/>
      <c r="G2" s="83"/>
      <c r="H2" s="83"/>
      <c r="I2" s="83"/>
    </row>
    <row r="4" spans="1:9" ht="15.75">
      <c r="A4" s="28" t="s">
        <v>108</v>
      </c>
      <c r="B4" s="28" t="s">
        <v>109</v>
      </c>
      <c r="C4" s="29" t="s">
        <v>110</v>
      </c>
      <c r="D4" s="28" t="s">
        <v>111</v>
      </c>
      <c r="E4" s="28" t="s">
        <v>112</v>
      </c>
      <c r="F4" s="28" t="s">
        <v>125</v>
      </c>
    </row>
    <row r="5" spans="1:9">
      <c r="A5" s="1" t="s">
        <v>113</v>
      </c>
      <c r="B5" s="1" t="s">
        <v>0</v>
      </c>
      <c r="C5" s="26">
        <v>85</v>
      </c>
      <c r="D5" s="1" t="s">
        <v>123</v>
      </c>
      <c r="E5" s="1" t="s">
        <v>123</v>
      </c>
      <c r="F5" s="1" t="str">
        <f>IF(AND(C5&gt;=80,OR(D5="ACHIEVED",E5="ACHIEVED")),"ELIGBLE","NOTELIGBLE")</f>
        <v>ELIGBLE</v>
      </c>
    </row>
    <row r="6" spans="1:9">
      <c r="A6" s="1" t="s">
        <v>114</v>
      </c>
      <c r="B6" s="1" t="s">
        <v>2</v>
      </c>
      <c r="C6" s="26">
        <v>78</v>
      </c>
      <c r="D6" s="1" t="s">
        <v>123</v>
      </c>
      <c r="E6" s="1" t="s">
        <v>123</v>
      </c>
      <c r="F6" s="1" t="str">
        <f t="shared" ref="F6:F14" si="0">IF(AND(C6&gt;=80,OR(D6="ACHIEVED",E6="ACHIEVED")),"ELIGBLE","NOTELIGBLE")</f>
        <v>NOTELIGBLE</v>
      </c>
    </row>
    <row r="7" spans="1:9">
      <c r="A7" s="1" t="s">
        <v>115</v>
      </c>
      <c r="B7" s="1" t="s">
        <v>3</v>
      </c>
      <c r="C7" s="26">
        <v>92</v>
      </c>
      <c r="D7" s="1" t="s">
        <v>124</v>
      </c>
      <c r="E7" s="1" t="s">
        <v>123</v>
      </c>
      <c r="F7" s="1" t="str">
        <f t="shared" si="0"/>
        <v>ELIGBLE</v>
      </c>
    </row>
    <row r="8" spans="1:9">
      <c r="A8" s="1" t="s">
        <v>116</v>
      </c>
      <c r="B8" s="1" t="s">
        <v>4</v>
      </c>
      <c r="C8" s="26">
        <v>74</v>
      </c>
      <c r="D8" s="1" t="s">
        <v>124</v>
      </c>
      <c r="E8" s="1" t="s">
        <v>124</v>
      </c>
      <c r="F8" s="1" t="str">
        <f t="shared" si="0"/>
        <v>NOTELIGBLE</v>
      </c>
    </row>
    <row r="9" spans="1:9">
      <c r="A9" s="1" t="s">
        <v>117</v>
      </c>
      <c r="B9" s="1" t="s">
        <v>5</v>
      </c>
      <c r="C9" s="26">
        <v>81</v>
      </c>
      <c r="D9" s="1" t="s">
        <v>123</v>
      </c>
      <c r="E9" s="1" t="s">
        <v>124</v>
      </c>
      <c r="F9" s="1" t="str">
        <f t="shared" si="0"/>
        <v>ELIGBLE</v>
      </c>
    </row>
    <row r="10" spans="1:9">
      <c r="A10" s="1" t="s">
        <v>118</v>
      </c>
      <c r="B10" s="1" t="s">
        <v>6</v>
      </c>
      <c r="C10" s="26">
        <v>88</v>
      </c>
      <c r="D10" s="1" t="s">
        <v>124</v>
      </c>
      <c r="E10" s="1" t="s">
        <v>124</v>
      </c>
      <c r="F10" s="1" t="str">
        <f t="shared" si="0"/>
        <v>NOTELIGBLE</v>
      </c>
    </row>
    <row r="11" spans="1:9">
      <c r="A11" s="1" t="s">
        <v>119</v>
      </c>
      <c r="B11" s="1" t="s">
        <v>7</v>
      </c>
      <c r="C11" s="26">
        <v>79</v>
      </c>
      <c r="D11" s="1" t="s">
        <v>123</v>
      </c>
      <c r="E11" s="1" t="s">
        <v>123</v>
      </c>
      <c r="F11" s="1" t="str">
        <f t="shared" si="0"/>
        <v>NOTELIGBLE</v>
      </c>
    </row>
    <row r="12" spans="1:9">
      <c r="A12" s="1" t="s">
        <v>120</v>
      </c>
      <c r="B12" s="1" t="s">
        <v>9</v>
      </c>
      <c r="C12" s="26">
        <v>95</v>
      </c>
      <c r="D12" s="1" t="s">
        <v>123</v>
      </c>
      <c r="E12" s="1" t="s">
        <v>123</v>
      </c>
      <c r="F12" s="1" t="str">
        <f t="shared" si="0"/>
        <v>ELIGBLE</v>
      </c>
    </row>
    <row r="13" spans="1:9">
      <c r="A13" s="1" t="s">
        <v>121</v>
      </c>
      <c r="B13" s="1" t="s">
        <v>10</v>
      </c>
      <c r="C13" s="26">
        <v>83</v>
      </c>
      <c r="D13" s="1" t="s">
        <v>124</v>
      </c>
      <c r="E13" s="1" t="s">
        <v>123</v>
      </c>
      <c r="F13" s="1" t="str">
        <f t="shared" si="0"/>
        <v>ELIGBLE</v>
      </c>
    </row>
    <row r="14" spans="1:9">
      <c r="A14" s="1" t="s">
        <v>122</v>
      </c>
      <c r="B14" s="1" t="s">
        <v>11</v>
      </c>
      <c r="C14" s="26">
        <v>69</v>
      </c>
      <c r="D14" s="1" t="s">
        <v>123</v>
      </c>
      <c r="E14" s="1" t="s">
        <v>124</v>
      </c>
      <c r="F14" s="1" t="str">
        <f t="shared" si="0"/>
        <v>NOTELIGBLE</v>
      </c>
    </row>
  </sheetData>
  <mergeCells count="1">
    <mergeCell ref="A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4D1E-D50E-4201-AF97-3D8A91403838}">
  <dimension ref="A1:D15"/>
  <sheetViews>
    <sheetView workbookViewId="0">
      <selection activeCell="E13" sqref="E13"/>
    </sheetView>
  </sheetViews>
  <sheetFormatPr defaultRowHeight="15"/>
  <cols>
    <col min="1" max="1" width="18.85546875" customWidth="1"/>
    <col min="2" max="2" width="16.42578125" customWidth="1"/>
    <col min="3" max="3" width="17.42578125" customWidth="1"/>
    <col min="4" max="4" width="16.42578125" customWidth="1"/>
  </cols>
  <sheetData>
    <row r="1" spans="1:4" ht="24">
      <c r="A1" s="90" t="s">
        <v>146</v>
      </c>
      <c r="B1" s="90"/>
      <c r="C1" s="90"/>
      <c r="D1" s="90"/>
    </row>
    <row r="2" spans="1:4" ht="15.75">
      <c r="A2" s="108" t="s">
        <v>32</v>
      </c>
      <c r="B2" s="108" t="s">
        <v>34</v>
      </c>
      <c r="C2" s="108" t="s">
        <v>35</v>
      </c>
      <c r="D2" s="108" t="s">
        <v>36</v>
      </c>
    </row>
    <row r="3" spans="1:4">
      <c r="A3" s="18" t="s">
        <v>84</v>
      </c>
      <c r="B3" s="1">
        <v>78</v>
      </c>
      <c r="C3" s="1">
        <v>83</v>
      </c>
      <c r="D3" s="1">
        <v>72</v>
      </c>
    </row>
    <row r="4" spans="1:4">
      <c r="A4" s="18" t="s">
        <v>91</v>
      </c>
      <c r="B4" s="1">
        <v>92</v>
      </c>
      <c r="C4" s="1">
        <v>88</v>
      </c>
      <c r="D4" s="1">
        <v>95</v>
      </c>
    </row>
    <row r="5" spans="1:4">
      <c r="A5" s="1" t="s">
        <v>88</v>
      </c>
      <c r="B5" s="1">
        <v>65</v>
      </c>
      <c r="C5" s="1">
        <v>74</v>
      </c>
      <c r="D5" s="1">
        <v>69</v>
      </c>
    </row>
    <row r="6" spans="1:4">
      <c r="A6" s="1" t="s">
        <v>85</v>
      </c>
      <c r="B6" s="1">
        <v>81</v>
      </c>
      <c r="C6" s="1">
        <v>79</v>
      </c>
      <c r="D6" s="1">
        <v>84</v>
      </c>
    </row>
    <row r="7" spans="1:4">
      <c r="A7" s="1" t="s">
        <v>86</v>
      </c>
      <c r="B7" s="1">
        <v>56</v>
      </c>
      <c r="C7" s="1">
        <v>63</v>
      </c>
      <c r="D7" s="1">
        <v>61</v>
      </c>
    </row>
    <row r="8" spans="1:4">
      <c r="A8" s="1" t="s">
        <v>87</v>
      </c>
      <c r="B8" s="1">
        <v>88</v>
      </c>
      <c r="C8" s="1">
        <v>91</v>
      </c>
      <c r="D8" s="1">
        <v>86</v>
      </c>
    </row>
    <row r="9" spans="1:4">
      <c r="A9" s="1" t="s">
        <v>89</v>
      </c>
      <c r="B9" s="1">
        <v>73</v>
      </c>
      <c r="C9" s="1">
        <v>68</v>
      </c>
      <c r="D9" s="1">
        <v>77</v>
      </c>
    </row>
    <row r="10" spans="1:4">
      <c r="A10" s="1" t="s">
        <v>90</v>
      </c>
      <c r="B10" s="1">
        <v>95</v>
      </c>
      <c r="C10" s="1">
        <v>94</v>
      </c>
      <c r="D10" s="1">
        <v>92</v>
      </c>
    </row>
    <row r="12" spans="1:4">
      <c r="A12" s="84" t="s">
        <v>150</v>
      </c>
      <c r="B12" s="84"/>
      <c r="C12" s="1">
        <f>MIN(B3:B10)</f>
        <v>56</v>
      </c>
    </row>
    <row r="13" spans="1:4">
      <c r="A13" s="84" t="s">
        <v>147</v>
      </c>
      <c r="B13" s="84"/>
      <c r="C13" s="1">
        <f>MAX(B3:B10)</f>
        <v>95</v>
      </c>
    </row>
    <row r="14" spans="1:4">
      <c r="A14" s="84" t="s">
        <v>148</v>
      </c>
      <c r="B14" s="84"/>
      <c r="C14" s="1">
        <f>AVERAGE(B3:B10)</f>
        <v>78.5</v>
      </c>
    </row>
    <row r="15" spans="1:4">
      <c r="A15" s="84" t="s">
        <v>149</v>
      </c>
      <c r="B15" s="84"/>
      <c r="C15" s="1">
        <f>COUNT(B3:B10)</f>
        <v>8</v>
      </c>
    </row>
  </sheetData>
  <mergeCells count="5">
    <mergeCell ref="A1:D1"/>
    <mergeCell ref="A12:B12"/>
    <mergeCell ref="A13:B13"/>
    <mergeCell ref="A14:B14"/>
    <mergeCell ref="A15:B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2869-B0E5-47B8-8E91-8F6113FEE474}">
  <dimension ref="A1:H21"/>
  <sheetViews>
    <sheetView workbookViewId="0">
      <selection activeCell="D4" sqref="D4"/>
    </sheetView>
  </sheetViews>
  <sheetFormatPr defaultRowHeight="15"/>
  <cols>
    <col min="1" max="1" width="23" customWidth="1"/>
    <col min="2" max="2" width="23.140625" customWidth="1"/>
    <col min="3" max="3" width="23.5703125" customWidth="1"/>
    <col min="4" max="5" width="24.7109375" customWidth="1"/>
  </cols>
  <sheetData>
    <row r="1" spans="1:8" ht="24">
      <c r="C1" s="109" t="s">
        <v>153</v>
      </c>
      <c r="D1" s="109"/>
      <c r="E1" s="109"/>
      <c r="F1" s="109"/>
      <c r="G1" s="109"/>
      <c r="H1" s="109"/>
    </row>
    <row r="3" spans="1:8">
      <c r="A3" s="1" t="s">
        <v>151</v>
      </c>
      <c r="B3" s="11">
        <f>SUMIF(B9:B20,"rathi",E9:E20)</f>
        <v>145000</v>
      </c>
    </row>
    <row r="4" spans="1:8">
      <c r="A4" s="1" t="s">
        <v>107</v>
      </c>
      <c r="B4" s="1">
        <f>COUNTIF(B9:B20,"janani")</f>
        <v>3</v>
      </c>
    </row>
    <row r="5" spans="1:8">
      <c r="A5" s="1" t="s">
        <v>152</v>
      </c>
      <c r="B5" s="1">
        <f>AVERAGEIF(B9:B20,"sankari",E9:E20)</f>
        <v>38000</v>
      </c>
    </row>
    <row r="8" spans="1:8" ht="18.75">
      <c r="A8" s="38" t="s">
        <v>154</v>
      </c>
      <c r="B8" s="38" t="s">
        <v>157</v>
      </c>
      <c r="C8" s="38" t="s">
        <v>155</v>
      </c>
      <c r="D8" s="38" t="s">
        <v>156</v>
      </c>
      <c r="E8" s="38" t="s">
        <v>92</v>
      </c>
    </row>
    <row r="9" spans="1:8">
      <c r="A9" s="35">
        <v>46235</v>
      </c>
      <c r="B9" s="18" t="s">
        <v>10</v>
      </c>
      <c r="C9" s="1" t="s">
        <v>158</v>
      </c>
      <c r="D9" s="1" t="s">
        <v>162</v>
      </c>
      <c r="E9" s="11">
        <v>55000</v>
      </c>
    </row>
    <row r="10" spans="1:8">
      <c r="A10" s="35">
        <v>46236</v>
      </c>
      <c r="B10" s="18" t="s">
        <v>11</v>
      </c>
      <c r="C10" s="1" t="s">
        <v>159</v>
      </c>
      <c r="D10" s="1" t="s">
        <v>163</v>
      </c>
      <c r="E10" s="11">
        <v>28000</v>
      </c>
    </row>
    <row r="11" spans="1:8">
      <c r="A11" s="35">
        <v>46237</v>
      </c>
      <c r="B11" s="18" t="s">
        <v>20</v>
      </c>
      <c r="C11" s="1" t="s">
        <v>158</v>
      </c>
      <c r="D11" s="1" t="s">
        <v>162</v>
      </c>
      <c r="E11" s="11">
        <v>62000</v>
      </c>
    </row>
    <row r="12" spans="1:8">
      <c r="A12" s="35">
        <v>46238</v>
      </c>
      <c r="B12" s="18" t="s">
        <v>21</v>
      </c>
      <c r="C12" s="1" t="s">
        <v>160</v>
      </c>
      <c r="D12" s="1" t="s">
        <v>164</v>
      </c>
      <c r="E12" s="11">
        <v>32000</v>
      </c>
    </row>
    <row r="13" spans="1:8">
      <c r="A13" s="35">
        <v>46239</v>
      </c>
      <c r="B13" s="18" t="s">
        <v>10</v>
      </c>
      <c r="C13" s="1" t="s">
        <v>158</v>
      </c>
      <c r="D13" s="1" t="s">
        <v>163</v>
      </c>
      <c r="E13" s="11">
        <v>24000</v>
      </c>
    </row>
    <row r="14" spans="1:8">
      <c r="A14" s="35">
        <v>46240</v>
      </c>
      <c r="B14" s="18" t="s">
        <v>11</v>
      </c>
      <c r="C14" s="1" t="s">
        <v>159</v>
      </c>
      <c r="D14" s="1" t="s">
        <v>162</v>
      </c>
      <c r="E14" s="11">
        <v>58000</v>
      </c>
    </row>
    <row r="15" spans="1:8">
      <c r="A15" s="35">
        <v>46241</v>
      </c>
      <c r="B15" s="18" t="s">
        <v>20</v>
      </c>
      <c r="C15" s="1" t="s">
        <v>161</v>
      </c>
      <c r="D15" s="1" t="s">
        <v>163</v>
      </c>
      <c r="E15" s="11">
        <v>26000</v>
      </c>
    </row>
    <row r="16" spans="1:8">
      <c r="A16" s="35">
        <v>46242</v>
      </c>
      <c r="B16" s="18" t="s">
        <v>21</v>
      </c>
      <c r="C16" s="1" t="s">
        <v>160</v>
      </c>
      <c r="D16" s="1" t="s">
        <v>162</v>
      </c>
      <c r="E16" s="11">
        <v>61000</v>
      </c>
    </row>
    <row r="17" spans="1:5">
      <c r="A17" s="35">
        <v>46243</v>
      </c>
      <c r="B17" s="18" t="s">
        <v>10</v>
      </c>
      <c r="C17" s="1" t="s">
        <v>158</v>
      </c>
      <c r="D17" s="1" t="s">
        <v>164</v>
      </c>
      <c r="E17" s="11">
        <v>35000</v>
      </c>
    </row>
    <row r="18" spans="1:5">
      <c r="A18" s="35">
        <v>46244</v>
      </c>
      <c r="B18" s="18" t="s">
        <v>11</v>
      </c>
      <c r="C18" s="1" t="s">
        <v>159</v>
      </c>
      <c r="D18" s="1" t="s">
        <v>163</v>
      </c>
      <c r="E18" s="11">
        <v>22000</v>
      </c>
    </row>
    <row r="19" spans="1:5">
      <c r="A19" s="35">
        <v>46245</v>
      </c>
      <c r="B19" s="18" t="s">
        <v>20</v>
      </c>
      <c r="C19" s="1" t="s">
        <v>161</v>
      </c>
      <c r="D19" s="1" t="s">
        <v>162</v>
      </c>
      <c r="E19" s="11">
        <v>57000</v>
      </c>
    </row>
    <row r="20" spans="1:5">
      <c r="A20" s="35">
        <v>46246</v>
      </c>
      <c r="B20" s="18" t="s">
        <v>21</v>
      </c>
      <c r="C20" s="1" t="s">
        <v>160</v>
      </c>
      <c r="D20" s="1" t="s">
        <v>163</v>
      </c>
      <c r="E20" s="11">
        <v>25000</v>
      </c>
    </row>
    <row r="21" spans="1:5">
      <c r="E21" s="36"/>
    </row>
  </sheetData>
  <mergeCells count="1">
    <mergeCell ref="C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478A-53F4-40C7-A63F-EA0F346F23FC}">
  <dimension ref="A1:E19"/>
  <sheetViews>
    <sheetView workbookViewId="0">
      <selection activeCell="F3" sqref="F3"/>
    </sheetView>
  </sheetViews>
  <sheetFormatPr defaultRowHeight="15"/>
  <cols>
    <col min="1" max="1" width="23" customWidth="1"/>
    <col min="2" max="2" width="27" customWidth="1"/>
    <col min="3" max="3" width="22.42578125" customWidth="1"/>
    <col min="4" max="4" width="21.140625" customWidth="1"/>
    <col min="5" max="5" width="22.7109375" customWidth="1"/>
  </cols>
  <sheetData>
    <row r="1" spans="1:5" ht="24">
      <c r="B1" s="85" t="s">
        <v>165</v>
      </c>
      <c r="C1" s="85"/>
      <c r="D1" s="85"/>
    </row>
    <row r="4" spans="1:5" ht="15.75">
      <c r="A4" s="86" t="s">
        <v>167</v>
      </c>
      <c r="B4" s="86"/>
      <c r="C4" s="32" t="s">
        <v>166</v>
      </c>
      <c r="D4" s="32" t="s">
        <v>169</v>
      </c>
      <c r="E4" s="39"/>
    </row>
    <row r="5" spans="1:5">
      <c r="A5" s="87" t="s">
        <v>168</v>
      </c>
      <c r="B5" s="87"/>
      <c r="C5" s="11">
        <f>SUMIFS(E8:E19,B8:B19,"DHARSHINI",C8:C19,"SOUTH")</f>
        <v>108000</v>
      </c>
      <c r="D5" s="37">
        <f>SUMIFS(E8:E19,B8:B19,"DHARSHINI",C8:C19,"SOUTH")</f>
        <v>108000</v>
      </c>
    </row>
    <row r="7" spans="1:5" ht="18.75">
      <c r="A7" s="38" t="s">
        <v>154</v>
      </c>
      <c r="B7" s="38" t="s">
        <v>157</v>
      </c>
      <c r="C7" s="38" t="s">
        <v>155</v>
      </c>
      <c r="D7" s="38" t="s">
        <v>156</v>
      </c>
      <c r="E7" s="38" t="s">
        <v>92</v>
      </c>
    </row>
    <row r="8" spans="1:5">
      <c r="A8" s="35">
        <v>46235</v>
      </c>
      <c r="B8" s="18" t="s">
        <v>10</v>
      </c>
      <c r="C8" s="1" t="s">
        <v>158</v>
      </c>
      <c r="D8" s="1" t="s">
        <v>162</v>
      </c>
      <c r="E8" s="11">
        <v>55000</v>
      </c>
    </row>
    <row r="9" spans="1:5">
      <c r="A9" s="35">
        <v>46236</v>
      </c>
      <c r="B9" s="18" t="s">
        <v>11</v>
      </c>
      <c r="C9" s="1" t="s">
        <v>159</v>
      </c>
      <c r="D9" s="1" t="s">
        <v>163</v>
      </c>
      <c r="E9" s="11">
        <v>28000</v>
      </c>
    </row>
    <row r="10" spans="1:5">
      <c r="A10" s="35">
        <v>46237</v>
      </c>
      <c r="B10" s="18" t="s">
        <v>20</v>
      </c>
      <c r="C10" s="1" t="s">
        <v>158</v>
      </c>
      <c r="D10" s="1" t="s">
        <v>162</v>
      </c>
      <c r="E10" s="11">
        <v>62000</v>
      </c>
    </row>
    <row r="11" spans="1:5">
      <c r="A11" s="35">
        <v>46238</v>
      </c>
      <c r="B11" s="18" t="s">
        <v>21</v>
      </c>
      <c r="C11" s="1" t="s">
        <v>160</v>
      </c>
      <c r="D11" s="1" t="s">
        <v>164</v>
      </c>
      <c r="E11" s="11">
        <v>32000</v>
      </c>
    </row>
    <row r="12" spans="1:5">
      <c r="A12" s="35">
        <v>46239</v>
      </c>
      <c r="B12" s="18" t="s">
        <v>10</v>
      </c>
      <c r="C12" s="1" t="s">
        <v>158</v>
      </c>
      <c r="D12" s="1" t="s">
        <v>163</v>
      </c>
      <c r="E12" s="11">
        <v>24000</v>
      </c>
    </row>
    <row r="13" spans="1:5">
      <c r="A13" s="35">
        <v>46240</v>
      </c>
      <c r="B13" s="18" t="s">
        <v>11</v>
      </c>
      <c r="C13" s="1" t="s">
        <v>159</v>
      </c>
      <c r="D13" s="1" t="s">
        <v>162</v>
      </c>
      <c r="E13" s="11">
        <v>58000</v>
      </c>
    </row>
    <row r="14" spans="1:5">
      <c r="A14" s="35">
        <v>46241</v>
      </c>
      <c r="B14" s="18" t="s">
        <v>20</v>
      </c>
      <c r="C14" s="1" t="s">
        <v>161</v>
      </c>
      <c r="D14" s="1" t="s">
        <v>163</v>
      </c>
      <c r="E14" s="11">
        <v>26000</v>
      </c>
    </row>
    <row r="15" spans="1:5">
      <c r="A15" s="35">
        <v>46242</v>
      </c>
      <c r="B15" s="18" t="s">
        <v>21</v>
      </c>
      <c r="C15" s="1" t="s">
        <v>160</v>
      </c>
      <c r="D15" s="1" t="s">
        <v>162</v>
      </c>
      <c r="E15" s="11">
        <v>61000</v>
      </c>
    </row>
    <row r="16" spans="1:5">
      <c r="A16" s="35">
        <v>46243</v>
      </c>
      <c r="B16" s="18" t="s">
        <v>10</v>
      </c>
      <c r="C16" s="1" t="s">
        <v>158</v>
      </c>
      <c r="D16" s="1" t="s">
        <v>164</v>
      </c>
      <c r="E16" s="11">
        <v>35000</v>
      </c>
    </row>
    <row r="17" spans="1:5">
      <c r="A17" s="35">
        <v>46244</v>
      </c>
      <c r="B17" s="18" t="s">
        <v>11</v>
      </c>
      <c r="C17" s="1" t="s">
        <v>159</v>
      </c>
      <c r="D17" s="1" t="s">
        <v>163</v>
      </c>
      <c r="E17" s="11">
        <v>22000</v>
      </c>
    </row>
    <row r="18" spans="1:5">
      <c r="A18" s="35">
        <v>46245</v>
      </c>
      <c r="B18" s="18" t="s">
        <v>20</v>
      </c>
      <c r="C18" s="1" t="s">
        <v>161</v>
      </c>
      <c r="D18" s="1" t="s">
        <v>162</v>
      </c>
      <c r="E18" s="11">
        <v>57000</v>
      </c>
    </row>
    <row r="19" spans="1:5">
      <c r="A19" s="35">
        <v>46246</v>
      </c>
      <c r="B19" s="18" t="s">
        <v>21</v>
      </c>
      <c r="C19" s="1" t="s">
        <v>160</v>
      </c>
      <c r="D19" s="1" t="s">
        <v>163</v>
      </c>
      <c r="E19" s="11">
        <v>25000</v>
      </c>
    </row>
  </sheetData>
  <mergeCells count="3">
    <mergeCell ref="B1:D1"/>
    <mergeCell ref="A4:B4"/>
    <mergeCell ref="A5:B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9C6E-D0D1-458E-AA6C-6D5B1C8324CD}">
  <dimension ref="A1:D20"/>
  <sheetViews>
    <sheetView workbookViewId="0">
      <selection activeCell="F7" sqref="F7"/>
    </sheetView>
  </sheetViews>
  <sheetFormatPr defaultRowHeight="15"/>
  <cols>
    <col min="1" max="1" width="12.5703125" customWidth="1"/>
    <col min="2" max="2" width="19.85546875" customWidth="1"/>
    <col min="3" max="3" width="21.5703125" customWidth="1"/>
    <col min="4" max="4" width="24" customWidth="1"/>
  </cols>
  <sheetData>
    <row r="1" spans="1:4" ht="26.25">
      <c r="A1" s="88" t="s">
        <v>209</v>
      </c>
      <c r="B1" s="88"/>
      <c r="C1" s="88"/>
      <c r="D1" s="88"/>
    </row>
    <row r="3" spans="1:4" ht="15.75">
      <c r="A3" s="41" t="s">
        <v>32</v>
      </c>
      <c r="B3" s="41" t="s">
        <v>386</v>
      </c>
      <c r="C3" s="41" t="s">
        <v>190</v>
      </c>
      <c r="D3" s="41" t="s">
        <v>191</v>
      </c>
    </row>
    <row r="4" spans="1:4">
      <c r="A4" s="1" t="s">
        <v>0</v>
      </c>
      <c r="B4" s="11">
        <v>13721</v>
      </c>
      <c r="C4" s="1" t="s">
        <v>192</v>
      </c>
      <c r="D4" s="1" t="s">
        <v>196</v>
      </c>
    </row>
    <row r="5" spans="1:4">
      <c r="A5" s="1" t="s">
        <v>6</v>
      </c>
      <c r="B5" s="11">
        <v>16267</v>
      </c>
      <c r="C5" s="1" t="s">
        <v>193</v>
      </c>
      <c r="D5" s="1" t="s">
        <v>197</v>
      </c>
    </row>
    <row r="6" spans="1:4">
      <c r="A6" s="1" t="s">
        <v>2</v>
      </c>
      <c r="B6" s="11">
        <v>17273</v>
      </c>
      <c r="C6" s="1" t="s">
        <v>194</v>
      </c>
      <c r="D6" s="1" t="s">
        <v>198</v>
      </c>
    </row>
    <row r="7" spans="1:4">
      <c r="A7" s="1" t="s">
        <v>0</v>
      </c>
      <c r="B7" s="11">
        <v>17860</v>
      </c>
      <c r="C7" s="1" t="s">
        <v>192</v>
      </c>
      <c r="D7" s="1" t="s">
        <v>199</v>
      </c>
    </row>
    <row r="8" spans="1:4">
      <c r="A8" s="1" t="s">
        <v>11</v>
      </c>
      <c r="B8" s="11">
        <v>13213</v>
      </c>
      <c r="C8" s="1" t="s">
        <v>195</v>
      </c>
      <c r="D8" s="1" t="s">
        <v>200</v>
      </c>
    </row>
    <row r="9" spans="1:4">
      <c r="A9" s="1" t="s">
        <v>6</v>
      </c>
      <c r="B9" s="11">
        <v>18689</v>
      </c>
      <c r="C9" s="1" t="s">
        <v>194</v>
      </c>
      <c r="D9" s="1" t="s">
        <v>201</v>
      </c>
    </row>
    <row r="10" spans="1:4">
      <c r="A10" s="1" t="s">
        <v>2</v>
      </c>
      <c r="B10" s="11">
        <v>13645</v>
      </c>
      <c r="C10" s="1" t="s">
        <v>193</v>
      </c>
      <c r="D10" s="1" t="s">
        <v>202</v>
      </c>
    </row>
    <row r="11" spans="1:4">
      <c r="A11" s="1" t="s">
        <v>0</v>
      </c>
      <c r="B11" s="11">
        <v>15182</v>
      </c>
      <c r="C11" s="1" t="s">
        <v>195</v>
      </c>
      <c r="D11" s="1" t="s">
        <v>203</v>
      </c>
    </row>
    <row r="12" spans="1:4">
      <c r="A12" s="1" t="s">
        <v>6</v>
      </c>
      <c r="B12" s="11">
        <v>14463</v>
      </c>
      <c r="C12" s="1" t="s">
        <v>192</v>
      </c>
      <c r="D12" s="1" t="s">
        <v>204</v>
      </c>
    </row>
    <row r="13" spans="1:4">
      <c r="A13" s="1" t="s">
        <v>0</v>
      </c>
      <c r="B13" s="11">
        <v>16592</v>
      </c>
      <c r="C13" s="1" t="s">
        <v>194</v>
      </c>
      <c r="D13" s="1" t="s">
        <v>205</v>
      </c>
    </row>
    <row r="16" spans="1:4">
      <c r="A16" s="42" t="s">
        <v>32</v>
      </c>
      <c r="B16" s="42" t="s">
        <v>206</v>
      </c>
      <c r="D16" s="42" t="s">
        <v>207</v>
      </c>
    </row>
    <row r="17" spans="1:4">
      <c r="A17" s="1" t="s">
        <v>0</v>
      </c>
      <c r="B17" s="11">
        <f>SUMIF(A4:A13,A4,B4:B13)</f>
        <v>63355</v>
      </c>
      <c r="D17" s="1">
        <f>SUMIF(A4:A13,A17,B4:B13)</f>
        <v>63355</v>
      </c>
    </row>
    <row r="18" spans="1:4">
      <c r="A18" s="1" t="s">
        <v>6</v>
      </c>
      <c r="B18" s="11">
        <f>SUMIF(A5:A14,A5,B5:B14)</f>
        <v>49419</v>
      </c>
    </row>
    <row r="19" spans="1:4">
      <c r="A19" s="1" t="s">
        <v>2</v>
      </c>
      <c r="B19" s="11">
        <f>SUMIF(A6:A15,A6,B6:B15)</f>
        <v>30918</v>
      </c>
      <c r="D19" s="42" t="s">
        <v>208</v>
      </c>
    </row>
    <row r="20" spans="1:4">
      <c r="A20" s="1" t="s">
        <v>11</v>
      </c>
      <c r="B20" s="11">
        <f t="shared" ref="B20" si="0">SUMIF(A7:A16,A7,B7:B16)</f>
        <v>49634</v>
      </c>
      <c r="D20" s="1" cm="1">
        <f t="array" ref="D20">SUM(_xlfn._xlws.FILTER(B4:B13,A4:A13=A17))</f>
        <v>63355</v>
      </c>
    </row>
  </sheetData>
  <mergeCells count="1">
    <mergeCell ref="A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3CECD-F8D5-4249-9525-57FB7FE41985}">
  <dimension ref="A1:G12"/>
  <sheetViews>
    <sheetView workbookViewId="0">
      <selection sqref="A1:G1"/>
    </sheetView>
  </sheetViews>
  <sheetFormatPr defaultRowHeight="15"/>
  <cols>
    <col min="1" max="2" width="13.140625" customWidth="1"/>
    <col min="3" max="3" width="13.7109375" customWidth="1"/>
    <col min="4" max="4" width="12" customWidth="1"/>
    <col min="5" max="5" width="17.42578125" customWidth="1"/>
    <col min="6" max="6" width="16.42578125" customWidth="1"/>
    <col min="7" max="7" width="18.140625" customWidth="1"/>
  </cols>
  <sheetData>
    <row r="1" spans="1:7" ht="24">
      <c r="A1" s="110" t="s">
        <v>214</v>
      </c>
      <c r="B1" s="110"/>
      <c r="C1" s="110"/>
      <c r="D1" s="110"/>
      <c r="E1" s="110"/>
      <c r="F1" s="110"/>
      <c r="G1" s="110"/>
    </row>
    <row r="2" spans="1:7" ht="15.75">
      <c r="A2" s="43" t="s">
        <v>210</v>
      </c>
      <c r="B2" s="43" t="s">
        <v>70</v>
      </c>
      <c r="C2" s="43" t="s">
        <v>69</v>
      </c>
      <c r="D2" s="43" t="s">
        <v>68</v>
      </c>
      <c r="E2" s="43" t="s">
        <v>211</v>
      </c>
      <c r="F2" s="43" t="s">
        <v>212</v>
      </c>
      <c r="G2" s="43" t="s">
        <v>213</v>
      </c>
    </row>
    <row r="3" spans="1:7">
      <c r="A3" s="1" t="s">
        <v>0</v>
      </c>
      <c r="B3" s="1">
        <v>2024</v>
      </c>
      <c r="C3" s="1">
        <v>1</v>
      </c>
      <c r="D3" s="1">
        <v>15</v>
      </c>
      <c r="E3" s="1">
        <v>6</v>
      </c>
      <c r="F3" s="12">
        <f>DATE(B3,C3,D3)</f>
        <v>45306</v>
      </c>
      <c r="G3" s="12">
        <f>EDATE(F3,E3)</f>
        <v>45488</v>
      </c>
    </row>
    <row r="4" spans="1:7">
      <c r="A4" s="1" t="s">
        <v>2</v>
      </c>
      <c r="B4" s="1">
        <v>2018</v>
      </c>
      <c r="C4" s="1">
        <v>2</v>
      </c>
      <c r="D4" s="1">
        <v>10</v>
      </c>
      <c r="E4" s="1">
        <v>12</v>
      </c>
      <c r="F4" s="12">
        <f t="shared" ref="F4:F12" si="0">DATE(B4,C4,D4)</f>
        <v>43141</v>
      </c>
      <c r="G4" s="12">
        <f t="shared" ref="G4:G12" si="1">EDATE(F4,E4)</f>
        <v>43506</v>
      </c>
    </row>
    <row r="5" spans="1:7">
      <c r="A5" s="1" t="s">
        <v>3</v>
      </c>
      <c r="B5" s="1">
        <v>2022</v>
      </c>
      <c r="C5" s="1">
        <v>3</v>
      </c>
      <c r="D5" s="1">
        <v>25</v>
      </c>
      <c r="E5" s="1">
        <v>9</v>
      </c>
      <c r="F5" s="12">
        <f t="shared" si="0"/>
        <v>44645</v>
      </c>
      <c r="G5" s="12">
        <f t="shared" si="1"/>
        <v>44920</v>
      </c>
    </row>
    <row r="6" spans="1:7">
      <c r="A6" s="1" t="s">
        <v>4</v>
      </c>
      <c r="B6" s="1">
        <v>2024</v>
      </c>
      <c r="C6" s="1">
        <v>4</v>
      </c>
      <c r="D6" s="1">
        <v>15</v>
      </c>
      <c r="E6" s="1">
        <v>3</v>
      </c>
      <c r="F6" s="12">
        <f t="shared" si="0"/>
        <v>45397</v>
      </c>
      <c r="G6" s="12">
        <f t="shared" si="1"/>
        <v>45488</v>
      </c>
    </row>
    <row r="7" spans="1:7">
      <c r="A7" s="1" t="s">
        <v>5</v>
      </c>
      <c r="B7" s="1">
        <v>2024</v>
      </c>
      <c r="C7" s="1">
        <v>5</v>
      </c>
      <c r="D7" s="1">
        <v>18</v>
      </c>
      <c r="E7" s="1">
        <v>6</v>
      </c>
      <c r="F7" s="12">
        <f t="shared" si="0"/>
        <v>45430</v>
      </c>
      <c r="G7" s="12">
        <f t="shared" si="1"/>
        <v>45614</v>
      </c>
    </row>
    <row r="8" spans="1:7">
      <c r="A8" s="1" t="s">
        <v>6</v>
      </c>
      <c r="B8" s="1">
        <v>2021</v>
      </c>
      <c r="C8" s="1">
        <v>6</v>
      </c>
      <c r="D8" s="1">
        <v>22</v>
      </c>
      <c r="E8" s="1">
        <v>12</v>
      </c>
      <c r="F8" s="12">
        <f t="shared" si="0"/>
        <v>44369</v>
      </c>
      <c r="G8" s="12">
        <f t="shared" si="1"/>
        <v>44734</v>
      </c>
    </row>
    <row r="9" spans="1:7">
      <c r="A9" s="1" t="s">
        <v>7</v>
      </c>
      <c r="B9" s="1">
        <v>2024</v>
      </c>
      <c r="C9" s="1">
        <v>7</v>
      </c>
      <c r="D9" s="1">
        <v>18</v>
      </c>
      <c r="E9" s="1">
        <v>19</v>
      </c>
      <c r="F9" s="12">
        <f t="shared" si="0"/>
        <v>45491</v>
      </c>
      <c r="G9" s="12">
        <f t="shared" si="1"/>
        <v>46071</v>
      </c>
    </row>
    <row r="10" spans="1:7">
      <c r="A10" s="1" t="s">
        <v>9</v>
      </c>
      <c r="B10" s="1">
        <v>2024</v>
      </c>
      <c r="C10" s="1">
        <v>8</v>
      </c>
      <c r="D10" s="1">
        <v>14</v>
      </c>
      <c r="E10" s="1">
        <v>23</v>
      </c>
      <c r="F10" s="12">
        <f t="shared" si="0"/>
        <v>45518</v>
      </c>
      <c r="G10" s="12">
        <f t="shared" si="1"/>
        <v>46217</v>
      </c>
    </row>
    <row r="11" spans="1:7">
      <c r="A11" s="1" t="s">
        <v>10</v>
      </c>
      <c r="B11" s="1">
        <v>2021</v>
      </c>
      <c r="C11" s="1">
        <v>10</v>
      </c>
      <c r="D11" s="1">
        <v>30</v>
      </c>
      <c r="E11" s="1">
        <v>6</v>
      </c>
      <c r="F11" s="12">
        <f t="shared" si="0"/>
        <v>44499</v>
      </c>
      <c r="G11" s="12">
        <f t="shared" si="1"/>
        <v>44681</v>
      </c>
    </row>
    <row r="12" spans="1:7">
      <c r="A12" s="1" t="s">
        <v>11</v>
      </c>
      <c r="B12" s="1">
        <v>2024</v>
      </c>
      <c r="C12" s="1">
        <v>10</v>
      </c>
      <c r="D12" s="1">
        <v>12</v>
      </c>
      <c r="E12" s="1">
        <v>12</v>
      </c>
      <c r="F12" s="12">
        <f t="shared" si="0"/>
        <v>45577</v>
      </c>
      <c r="G12" s="12">
        <f t="shared" si="1"/>
        <v>45942</v>
      </c>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E058-B5A0-4E3E-8B7E-C46ECE862BB0}">
  <dimension ref="A1:G13"/>
  <sheetViews>
    <sheetView workbookViewId="0">
      <selection activeCell="C12" sqref="C12"/>
    </sheetView>
  </sheetViews>
  <sheetFormatPr defaultRowHeight="15"/>
  <cols>
    <col min="1" max="1" width="18" customWidth="1"/>
    <col min="2" max="2" width="19.85546875" customWidth="1"/>
    <col min="3" max="3" width="19.5703125" customWidth="1"/>
    <col min="4" max="5" width="12.28515625" customWidth="1"/>
    <col min="6" max="6" width="24.7109375" customWidth="1"/>
    <col min="7" max="7" width="17.42578125" customWidth="1"/>
  </cols>
  <sheetData>
    <row r="1" spans="1:7" ht="21">
      <c r="C1" s="89" t="s">
        <v>218</v>
      </c>
      <c r="D1" s="89"/>
      <c r="E1" s="89"/>
    </row>
    <row r="3" spans="1:7" ht="15.75">
      <c r="A3" s="44" t="s">
        <v>108</v>
      </c>
      <c r="B3" s="44" t="s">
        <v>109</v>
      </c>
      <c r="C3" s="44" t="s">
        <v>80</v>
      </c>
      <c r="D3" s="44" t="s">
        <v>217</v>
      </c>
      <c r="E3" s="45"/>
      <c r="F3" s="48" t="s">
        <v>221</v>
      </c>
    </row>
    <row r="4" spans="1:7">
      <c r="A4" s="1" t="s">
        <v>113</v>
      </c>
      <c r="B4" s="1" t="s">
        <v>0</v>
      </c>
      <c r="C4" s="1" t="s">
        <v>92</v>
      </c>
      <c r="D4" s="3">
        <v>22000</v>
      </c>
      <c r="E4" s="46"/>
      <c r="F4" s="1" t="s">
        <v>222</v>
      </c>
      <c r="G4" s="1" t="s">
        <v>115</v>
      </c>
    </row>
    <row r="5" spans="1:7">
      <c r="A5" s="1" t="s">
        <v>114</v>
      </c>
      <c r="B5" s="1" t="s">
        <v>2</v>
      </c>
      <c r="C5" s="1" t="s">
        <v>93</v>
      </c>
      <c r="D5" s="3">
        <v>30000</v>
      </c>
      <c r="E5" s="46"/>
      <c r="F5" s="1"/>
      <c r="G5" s="1"/>
    </row>
    <row r="6" spans="1:7">
      <c r="A6" s="1" t="s">
        <v>115</v>
      </c>
      <c r="B6" s="1" t="s">
        <v>3</v>
      </c>
      <c r="C6" s="1" t="s">
        <v>94</v>
      </c>
      <c r="D6" s="3">
        <v>32000</v>
      </c>
      <c r="E6" s="46"/>
      <c r="F6" s="1" t="s">
        <v>223</v>
      </c>
      <c r="G6" s="1" t="s">
        <v>3</v>
      </c>
    </row>
    <row r="7" spans="1:7">
      <c r="A7" s="1" t="s">
        <v>116</v>
      </c>
      <c r="B7" s="1" t="s">
        <v>4</v>
      </c>
      <c r="C7" s="1" t="s">
        <v>219</v>
      </c>
      <c r="D7" s="3">
        <v>27000</v>
      </c>
      <c r="E7" s="46"/>
      <c r="F7" s="1" t="s">
        <v>224</v>
      </c>
      <c r="G7" s="1" t="s">
        <v>94</v>
      </c>
    </row>
    <row r="8" spans="1:7">
      <c r="A8" s="1" t="s">
        <v>117</v>
      </c>
      <c r="B8" s="1" t="s">
        <v>5</v>
      </c>
      <c r="C8" s="1" t="s">
        <v>220</v>
      </c>
      <c r="D8" s="3">
        <v>26000</v>
      </c>
      <c r="E8" s="46"/>
      <c r="F8" s="1" t="s">
        <v>225</v>
      </c>
      <c r="G8" s="1">
        <f>VLOOKUP(G4,A4:D8,4,FALSE)</f>
        <v>32000</v>
      </c>
    </row>
    <row r="9" spans="1:7">
      <c r="E9" s="47"/>
    </row>
    <row r="10" spans="1:7">
      <c r="E10" s="47"/>
    </row>
    <row r="11" spans="1:7">
      <c r="E11" s="47"/>
    </row>
    <row r="12" spans="1:7">
      <c r="E12" s="47"/>
    </row>
    <row r="13" spans="1:7">
      <c r="E13" s="47"/>
    </row>
  </sheetData>
  <mergeCells count="1">
    <mergeCell ref="C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AC5D-DDDC-4447-9437-56126A7D41C5}">
  <dimension ref="A1:I16"/>
  <sheetViews>
    <sheetView workbookViewId="0">
      <selection activeCell="B19" sqref="B19"/>
    </sheetView>
  </sheetViews>
  <sheetFormatPr defaultRowHeight="15"/>
  <cols>
    <col min="1" max="1" width="20.85546875" customWidth="1"/>
    <col min="2" max="2" width="24.42578125" customWidth="1"/>
    <col min="3" max="3" width="20.85546875" customWidth="1"/>
    <col min="6" max="6" width="17.7109375" customWidth="1"/>
    <col min="7" max="7" width="15.7109375" customWidth="1"/>
    <col min="8" max="8" width="15.28515625" customWidth="1"/>
    <col min="9" max="9" width="16" customWidth="1"/>
  </cols>
  <sheetData>
    <row r="1" spans="1:9" ht="24">
      <c r="A1" s="90" t="s">
        <v>226</v>
      </c>
      <c r="B1" s="90"/>
      <c r="C1" s="90"/>
      <c r="F1" s="90" t="s">
        <v>266</v>
      </c>
      <c r="G1" s="90"/>
      <c r="H1" s="90"/>
      <c r="I1" s="90"/>
    </row>
    <row r="3" spans="1:9" ht="15.75">
      <c r="A3" s="111" t="s">
        <v>108</v>
      </c>
      <c r="B3" s="111" t="s">
        <v>227</v>
      </c>
      <c r="C3" s="111" t="s">
        <v>228</v>
      </c>
      <c r="F3" s="112" t="s">
        <v>108</v>
      </c>
      <c r="G3" s="112" t="s">
        <v>252</v>
      </c>
      <c r="H3" s="112" t="s">
        <v>267</v>
      </c>
      <c r="I3" s="112" t="s">
        <v>268</v>
      </c>
    </row>
    <row r="4" spans="1:9">
      <c r="A4" s="1">
        <v>110608</v>
      </c>
      <c r="B4" s="1" t="s">
        <v>229</v>
      </c>
      <c r="C4" s="1" t="s">
        <v>230</v>
      </c>
      <c r="F4" s="1">
        <v>990678</v>
      </c>
      <c r="G4" s="49" t="s">
        <v>253</v>
      </c>
      <c r="H4" s="1" t="str">
        <f>VLOOKUP(F4,A4:C16,3,FALSE)</f>
        <v>Brad</v>
      </c>
      <c r="I4" s="1" t="str">
        <f>VLOOKUP(F4,A4:C16,2,FALSE)</f>
        <v>Pitt</v>
      </c>
    </row>
    <row r="5" spans="1:9">
      <c r="A5" s="1">
        <v>253072</v>
      </c>
      <c r="B5" s="1" t="s">
        <v>231</v>
      </c>
      <c r="C5" s="1" t="s">
        <v>232</v>
      </c>
      <c r="F5" s="1">
        <v>830385</v>
      </c>
      <c r="G5" s="49" t="s">
        <v>254</v>
      </c>
      <c r="H5" s="1" t="str">
        <f t="shared" ref="H5:H13" si="0">VLOOKUP(F5,A5:C17,3,FALSE)</f>
        <v>Prince</v>
      </c>
      <c r="I5" s="1" t="str">
        <f t="shared" ref="I5:I13" si="1">VLOOKUP(F5,A5:C17,2,FALSE)</f>
        <v>Williams</v>
      </c>
    </row>
    <row r="6" spans="1:9">
      <c r="A6" s="1">
        <v>352711</v>
      </c>
      <c r="B6" s="1" t="s">
        <v>233</v>
      </c>
      <c r="C6" s="1" t="s">
        <v>230</v>
      </c>
      <c r="F6" s="1">
        <v>795574</v>
      </c>
      <c r="G6" s="49" t="s">
        <v>255</v>
      </c>
      <c r="H6" s="1" t="str">
        <f t="shared" si="0"/>
        <v>Tony</v>
      </c>
      <c r="I6" s="1" t="str">
        <f t="shared" si="1"/>
        <v>Stark</v>
      </c>
    </row>
    <row r="7" spans="1:9">
      <c r="A7" s="1">
        <v>391006</v>
      </c>
      <c r="B7" s="1" t="s">
        <v>234</v>
      </c>
      <c r="C7" s="1" t="s">
        <v>244</v>
      </c>
      <c r="F7" s="1">
        <v>580622</v>
      </c>
      <c r="G7" s="49" t="s">
        <v>256</v>
      </c>
      <c r="H7" s="1" t="str">
        <f t="shared" si="0"/>
        <v>Eli</v>
      </c>
      <c r="I7" s="1" t="str">
        <f t="shared" si="1"/>
        <v>Manning</v>
      </c>
    </row>
    <row r="8" spans="1:9">
      <c r="A8" s="1">
        <v>392128</v>
      </c>
      <c r="B8" s="1" t="s">
        <v>235</v>
      </c>
      <c r="C8" s="1" t="s">
        <v>245</v>
      </c>
      <c r="F8" s="1">
        <v>549457</v>
      </c>
      <c r="G8" s="49" t="s">
        <v>257</v>
      </c>
      <c r="H8" s="1" t="str">
        <f t="shared" si="0"/>
        <v>John</v>
      </c>
      <c r="I8" s="1" t="str">
        <f t="shared" si="1"/>
        <v>Elway</v>
      </c>
    </row>
    <row r="9" spans="1:9">
      <c r="A9" s="1">
        <v>549457</v>
      </c>
      <c r="B9" s="1" t="s">
        <v>236</v>
      </c>
      <c r="C9" s="1" t="s">
        <v>230</v>
      </c>
      <c r="F9" s="1">
        <v>392128</v>
      </c>
      <c r="G9" s="49" t="s">
        <v>258</v>
      </c>
      <c r="H9" s="1" t="str">
        <f>VLOOKUP(F9,A4:C16,3,FALSE)</f>
        <v>Bret</v>
      </c>
      <c r="I9" s="1" t="str">
        <f>VLOOKUP(F9,A4:C16,2,FALSE)</f>
        <v>Favre</v>
      </c>
    </row>
    <row r="10" spans="1:9">
      <c r="A10" s="1">
        <v>580622</v>
      </c>
      <c r="B10" s="1" t="s">
        <v>237</v>
      </c>
      <c r="C10" s="1" t="s">
        <v>246</v>
      </c>
      <c r="F10" s="1">
        <v>391006</v>
      </c>
      <c r="G10" s="49" t="s">
        <v>259</v>
      </c>
      <c r="H10" s="1" t="str">
        <f>VLOOKUP(F10,A4:C16,3,FALSE)</f>
        <v>Peter</v>
      </c>
      <c r="I10" s="1" t="str">
        <f>VLOOKUP(F10,A4:C16,2,FALSE)</f>
        <v>Pan</v>
      </c>
    </row>
    <row r="11" spans="1:9">
      <c r="A11" s="1">
        <v>602693</v>
      </c>
      <c r="B11" s="1" t="s">
        <v>238</v>
      </c>
      <c r="C11" s="1" t="s">
        <v>247</v>
      </c>
      <c r="F11" s="1">
        <v>352711</v>
      </c>
      <c r="G11" s="49" t="s">
        <v>260</v>
      </c>
      <c r="H11" s="1" t="str">
        <f>VLOOKUP(F11,A4:C16,3,FALSE)</f>
        <v>John</v>
      </c>
      <c r="I11" s="1" t="str">
        <f>VLOOKUP(F11,A4:C16,2,FALSE)</f>
        <v>Smith</v>
      </c>
    </row>
    <row r="12" spans="1:9">
      <c r="A12" s="1">
        <v>611810</v>
      </c>
      <c r="B12" s="1" t="s">
        <v>239</v>
      </c>
      <c r="C12" s="1" t="s">
        <v>248</v>
      </c>
      <c r="F12" s="1">
        <v>253072</v>
      </c>
      <c r="G12" s="49" t="s">
        <v>261</v>
      </c>
      <c r="H12" s="1" t="str">
        <f>VLOOKUP(F12,A4:C16,3,FALSE)</f>
        <v>Andy</v>
      </c>
      <c r="I12" s="1" t="str">
        <f>VLOOKUP(F12,A4:C16,2,FALSE)</f>
        <v>Cine</v>
      </c>
    </row>
    <row r="13" spans="1:9">
      <c r="A13" s="1">
        <v>612235</v>
      </c>
      <c r="B13" s="1" t="s">
        <v>240</v>
      </c>
      <c r="C13" s="1" t="s">
        <v>247</v>
      </c>
      <c r="F13" s="1">
        <v>612235</v>
      </c>
      <c r="G13" s="49" t="s">
        <v>262</v>
      </c>
      <c r="H13" s="1" t="str">
        <f t="shared" si="0"/>
        <v>Micheal</v>
      </c>
      <c r="I13" s="1" t="str">
        <f t="shared" si="1"/>
        <v>Jordan</v>
      </c>
    </row>
    <row r="14" spans="1:9">
      <c r="A14" s="1">
        <v>795574</v>
      </c>
      <c r="B14" s="1" t="s">
        <v>241</v>
      </c>
      <c r="C14" s="1" t="s">
        <v>249</v>
      </c>
      <c r="F14" s="1">
        <v>611810</v>
      </c>
      <c r="G14" s="49" t="s">
        <v>265</v>
      </c>
      <c r="H14" s="1" t="str">
        <f>VLOOKUP(F14,A4:C16,3,FALSE)</f>
        <v>Tiger</v>
      </c>
      <c r="I14" s="1" t="str">
        <f>VLOOKUP(F14,A4:C16,2,FALSE)</f>
        <v>Woods</v>
      </c>
    </row>
    <row r="15" spans="1:9">
      <c r="A15" s="1">
        <v>830385</v>
      </c>
      <c r="B15" s="1" t="s">
        <v>242</v>
      </c>
      <c r="C15" s="1" t="s">
        <v>250</v>
      </c>
      <c r="F15" s="1">
        <v>602693</v>
      </c>
      <c r="G15" s="49" t="s">
        <v>263</v>
      </c>
      <c r="H15" s="1" t="str">
        <f>VLOOKUP(F15,A4:C16,3,FALSE)</f>
        <v>Micheal</v>
      </c>
      <c r="I15" s="1" t="str">
        <f>VLOOKUP(F15,A4:C16,2,FALSE)</f>
        <v>Vick</v>
      </c>
    </row>
    <row r="16" spans="1:9">
      <c r="A16" s="1">
        <v>990678</v>
      </c>
      <c r="B16" s="1" t="s">
        <v>243</v>
      </c>
      <c r="C16" s="1" t="s">
        <v>251</v>
      </c>
      <c r="F16" s="1">
        <v>110608</v>
      </c>
      <c r="G16" s="49" t="s">
        <v>264</v>
      </c>
      <c r="H16" s="1" t="str">
        <f>VLOOKUP(F16,A4:C16,3,FALSE)</f>
        <v>John</v>
      </c>
      <c r="I16" s="1" t="str">
        <f>VLOOKUP(F16,A4:C16,2,FALSE)</f>
        <v>Doe</v>
      </c>
    </row>
  </sheetData>
  <mergeCells count="2">
    <mergeCell ref="A1:C1"/>
    <mergeCell ref="F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18249-1E16-4963-8E1C-88A931B1A6FF}">
  <dimension ref="A1:I34"/>
  <sheetViews>
    <sheetView workbookViewId="0">
      <selection activeCell="F19" sqref="F19"/>
    </sheetView>
  </sheetViews>
  <sheetFormatPr defaultRowHeight="15"/>
  <cols>
    <col min="1" max="2" width="15.140625" customWidth="1"/>
    <col min="3" max="3" width="14.5703125" customWidth="1"/>
    <col min="6" max="6" width="15.42578125" customWidth="1"/>
    <col min="7" max="7" width="11.85546875" customWidth="1"/>
    <col min="8" max="8" width="14.5703125" customWidth="1"/>
    <col min="9" max="9" width="14.140625" customWidth="1"/>
  </cols>
  <sheetData>
    <row r="1" spans="1:9" ht="24">
      <c r="A1" s="90" t="s">
        <v>269</v>
      </c>
      <c r="B1" s="90"/>
      <c r="C1" s="90"/>
      <c r="F1" s="90" t="s">
        <v>266</v>
      </c>
      <c r="G1" s="90"/>
      <c r="H1" s="90"/>
      <c r="I1" s="90"/>
    </row>
    <row r="3" spans="1:9" ht="15.75">
      <c r="A3" s="111" t="s">
        <v>108</v>
      </c>
      <c r="B3" s="111" t="s">
        <v>227</v>
      </c>
      <c r="C3" s="111" t="s">
        <v>228</v>
      </c>
      <c r="F3" s="111" t="s">
        <v>108</v>
      </c>
      <c r="G3" s="111" t="s">
        <v>252</v>
      </c>
      <c r="H3" s="111" t="s">
        <v>227</v>
      </c>
      <c r="I3" s="111" t="s">
        <v>271</v>
      </c>
    </row>
    <row r="4" spans="1:9">
      <c r="A4" s="1">
        <v>110608</v>
      </c>
      <c r="B4" s="1" t="s">
        <v>229</v>
      </c>
      <c r="C4" s="1" t="s">
        <v>230</v>
      </c>
      <c r="F4" s="1">
        <v>990678</v>
      </c>
      <c r="G4" s="49" t="s">
        <v>253</v>
      </c>
      <c r="H4" s="1" t="str">
        <f>VLOOKUP(F4,A4:C16,2,TRUE)</f>
        <v>Pitt</v>
      </c>
      <c r="I4" s="1" t="str">
        <f>VLOOKUP(F4,A22:C34,2,TRUE)</f>
        <v>Austin</v>
      </c>
    </row>
    <row r="5" spans="1:9">
      <c r="A5" s="1">
        <v>253072</v>
      </c>
      <c r="B5" s="1" t="s">
        <v>231</v>
      </c>
      <c r="C5" s="1" t="s">
        <v>232</v>
      </c>
      <c r="F5" s="1">
        <v>830385</v>
      </c>
      <c r="G5" s="49" t="s">
        <v>254</v>
      </c>
      <c r="H5" s="1" t="str">
        <f t="shared" ref="H5:H14" si="0">VLOOKUP(F5,A5:C17,2,TRUE)</f>
        <v>Williams</v>
      </c>
      <c r="I5" s="1" t="str">
        <f t="shared" ref="I5:I8" si="1">VLOOKUP(F5,A23:C35,2,TRUE)</f>
        <v>Chicago</v>
      </c>
    </row>
    <row r="6" spans="1:9">
      <c r="A6" s="1">
        <v>352711</v>
      </c>
      <c r="B6" s="1" t="s">
        <v>233</v>
      </c>
      <c r="C6" s="1" t="s">
        <v>230</v>
      </c>
      <c r="F6" s="1">
        <v>795574</v>
      </c>
      <c r="G6" s="49" t="s">
        <v>255</v>
      </c>
      <c r="H6" s="1" t="str">
        <f t="shared" si="0"/>
        <v>Stark</v>
      </c>
      <c r="I6" s="1" t="str">
        <f t="shared" si="1"/>
        <v>Austin</v>
      </c>
    </row>
    <row r="7" spans="1:9">
      <c r="A7" s="1">
        <v>391006</v>
      </c>
      <c r="B7" s="1" t="s">
        <v>234</v>
      </c>
      <c r="C7" s="1" t="s">
        <v>244</v>
      </c>
      <c r="F7" s="1">
        <v>580622</v>
      </c>
      <c r="G7" s="49" t="s">
        <v>256</v>
      </c>
      <c r="H7" s="1" t="str">
        <f t="shared" si="0"/>
        <v>Manning</v>
      </c>
      <c r="I7" s="1" t="str">
        <f t="shared" si="1"/>
        <v>Columbus</v>
      </c>
    </row>
    <row r="8" spans="1:9">
      <c r="A8" s="1">
        <v>392128</v>
      </c>
      <c r="B8" s="1" t="s">
        <v>235</v>
      </c>
      <c r="C8" s="1" t="s">
        <v>245</v>
      </c>
      <c r="F8" s="1">
        <v>549457</v>
      </c>
      <c r="G8" s="49" t="s">
        <v>257</v>
      </c>
      <c r="H8" s="1" t="str">
        <f t="shared" si="0"/>
        <v>Elway</v>
      </c>
      <c r="I8" s="1" t="str">
        <f t="shared" si="1"/>
        <v>Tampa Bay</v>
      </c>
    </row>
    <row r="9" spans="1:9">
      <c r="A9" s="1">
        <v>549457</v>
      </c>
      <c r="B9" s="1" t="s">
        <v>236</v>
      </c>
      <c r="C9" s="1" t="s">
        <v>230</v>
      </c>
      <c r="F9" s="1">
        <v>392128</v>
      </c>
      <c r="G9" s="49" t="s">
        <v>258</v>
      </c>
      <c r="H9" s="1" t="str">
        <f>VLOOKUP(F9,A4:C16,2,TRUE)</f>
        <v>Favre</v>
      </c>
      <c r="I9" s="1" t="str">
        <f>VLOOKUP(F9,A22:C34,2,TRUE)</f>
        <v>Chicago</v>
      </c>
    </row>
    <row r="10" spans="1:9">
      <c r="A10" s="1">
        <v>580622</v>
      </c>
      <c r="B10" s="1" t="s">
        <v>237</v>
      </c>
      <c r="C10" s="1" t="s">
        <v>246</v>
      </c>
      <c r="F10" s="1">
        <v>391006</v>
      </c>
      <c r="G10" s="49" t="s">
        <v>259</v>
      </c>
      <c r="H10" s="1" t="str">
        <f>VLOOKUP(F10,A4:C16,2,TRUE)</f>
        <v>Pan</v>
      </c>
      <c r="I10" s="1" t="str">
        <f>VLOOKUP(F10,A22:C34,2,TRUE)</f>
        <v>Chicago</v>
      </c>
    </row>
    <row r="11" spans="1:9">
      <c r="A11" s="1">
        <v>602693</v>
      </c>
      <c r="B11" s="1" t="s">
        <v>238</v>
      </c>
      <c r="C11" s="1" t="s">
        <v>247</v>
      </c>
      <c r="F11" s="1">
        <v>352711</v>
      </c>
      <c r="G11" s="49" t="s">
        <v>260</v>
      </c>
      <c r="H11" s="1" t="str">
        <f>VLOOKUP(F11,A4:C16,2,TRUE)</f>
        <v>Smith</v>
      </c>
      <c r="I11" s="1" t="str">
        <f>VLOOKUP(F11,A22:C34,2,TRUE)</f>
        <v>Tampa Bay</v>
      </c>
    </row>
    <row r="12" spans="1:9">
      <c r="A12" s="1">
        <v>611810</v>
      </c>
      <c r="B12" s="1" t="s">
        <v>239</v>
      </c>
      <c r="C12" s="1" t="s">
        <v>248</v>
      </c>
      <c r="F12" s="1">
        <v>253072</v>
      </c>
      <c r="G12" s="49" t="s">
        <v>261</v>
      </c>
      <c r="H12" s="1" t="str">
        <f>VLOOKUP(F12,A4:C16,2,TRUE)</f>
        <v>Cine</v>
      </c>
      <c r="I12" s="1" t="str">
        <f>VLOOKUP(F12,A22:C34,2,TRUE)</f>
        <v>Chicago</v>
      </c>
    </row>
    <row r="13" spans="1:9">
      <c r="A13" s="1">
        <v>612235</v>
      </c>
      <c r="B13" s="1" t="s">
        <v>240</v>
      </c>
      <c r="C13" s="1" t="s">
        <v>247</v>
      </c>
      <c r="F13" s="1">
        <v>612235</v>
      </c>
      <c r="G13" s="49" t="s">
        <v>262</v>
      </c>
      <c r="H13" s="1" t="str">
        <f>VLOOKUP(F13,A4:C16,2,TRUE)</f>
        <v>Jordan</v>
      </c>
      <c r="I13" s="1" t="str">
        <f>VLOOKUP(F13,A31:C43,2,TRUE)</f>
        <v>Tampa Bay</v>
      </c>
    </row>
    <row r="14" spans="1:9">
      <c r="A14" s="1">
        <v>795574</v>
      </c>
      <c r="B14" s="1" t="s">
        <v>241</v>
      </c>
      <c r="C14" s="1" t="s">
        <v>249</v>
      </c>
      <c r="F14" s="1">
        <v>611810</v>
      </c>
      <c r="G14" s="49" t="s">
        <v>265</v>
      </c>
      <c r="H14" s="1" t="str">
        <f t="shared" si="0"/>
        <v>Chicago</v>
      </c>
      <c r="I14" s="1" t="str">
        <f>VLOOKUP(F14,A22:C34,2,TRUE)</f>
        <v>Austin</v>
      </c>
    </row>
    <row r="15" spans="1:9">
      <c r="A15" s="1">
        <v>830385</v>
      </c>
      <c r="B15" s="1" t="s">
        <v>242</v>
      </c>
      <c r="C15" s="1" t="s">
        <v>250</v>
      </c>
      <c r="F15" s="1">
        <v>602693</v>
      </c>
      <c r="G15" s="49" t="s">
        <v>263</v>
      </c>
      <c r="H15" s="1" t="str">
        <f>VLOOKUP(F15,A4:C16,2,TRUE)</f>
        <v>Vick</v>
      </c>
      <c r="I15" s="1" t="str">
        <f>VLOOKUP(F15,A22:C34,2,TRUE)</f>
        <v>Tampa Bay</v>
      </c>
    </row>
    <row r="16" spans="1:9">
      <c r="A16" s="1">
        <v>990678</v>
      </c>
      <c r="B16" s="1" t="s">
        <v>243</v>
      </c>
      <c r="C16" s="1" t="s">
        <v>251</v>
      </c>
      <c r="F16" s="1">
        <v>110608</v>
      </c>
      <c r="G16" s="49" t="s">
        <v>264</v>
      </c>
      <c r="H16" s="1" t="str">
        <f>VLOOKUP(F16,A4:C16,2,TRUE)</f>
        <v>Doe</v>
      </c>
      <c r="I16" s="1" t="str">
        <f>VLOOKUP(F16,A22:C34,2,TRUE)</f>
        <v>Columbus</v>
      </c>
    </row>
    <row r="19" spans="1:3" ht="24">
      <c r="A19" s="90" t="s">
        <v>270</v>
      </c>
      <c r="B19" s="90"/>
      <c r="C19" s="90"/>
    </row>
    <row r="21" spans="1:3" ht="15.75">
      <c r="A21" s="111" t="s">
        <v>108</v>
      </c>
      <c r="B21" s="111" t="s">
        <v>271</v>
      </c>
      <c r="C21" s="111" t="s">
        <v>272</v>
      </c>
    </row>
    <row r="22" spans="1:3">
      <c r="A22" s="1">
        <v>110608</v>
      </c>
      <c r="B22" s="1" t="s">
        <v>273</v>
      </c>
      <c r="C22" s="1" t="s">
        <v>277</v>
      </c>
    </row>
    <row r="23" spans="1:3">
      <c r="A23" s="1">
        <v>253072</v>
      </c>
      <c r="B23" s="1" t="s">
        <v>274</v>
      </c>
      <c r="C23" s="1" t="s">
        <v>278</v>
      </c>
    </row>
    <row r="24" spans="1:3">
      <c r="A24" s="1">
        <v>352711</v>
      </c>
      <c r="B24" s="1" t="s">
        <v>275</v>
      </c>
      <c r="C24" s="1" t="s">
        <v>279</v>
      </c>
    </row>
    <row r="25" spans="1:3">
      <c r="A25" s="1">
        <v>391006</v>
      </c>
      <c r="B25" s="1" t="s">
        <v>274</v>
      </c>
      <c r="C25" s="1" t="s">
        <v>278</v>
      </c>
    </row>
    <row r="26" spans="1:3">
      <c r="A26" s="1">
        <v>392128</v>
      </c>
      <c r="B26" s="1" t="s">
        <v>274</v>
      </c>
      <c r="C26" s="1" t="s">
        <v>278</v>
      </c>
    </row>
    <row r="27" spans="1:3">
      <c r="A27" s="1">
        <v>549457</v>
      </c>
      <c r="B27" s="1" t="s">
        <v>275</v>
      </c>
      <c r="C27" s="1" t="s">
        <v>279</v>
      </c>
    </row>
    <row r="28" spans="1:3">
      <c r="A28" s="1">
        <v>580622</v>
      </c>
      <c r="B28" s="1" t="s">
        <v>273</v>
      </c>
      <c r="C28" s="1" t="s">
        <v>277</v>
      </c>
    </row>
    <row r="29" spans="1:3">
      <c r="A29" s="1">
        <v>602693</v>
      </c>
      <c r="B29" s="1" t="s">
        <v>275</v>
      </c>
      <c r="C29" s="1" t="s">
        <v>279</v>
      </c>
    </row>
    <row r="30" spans="1:3">
      <c r="A30" s="1">
        <v>611810</v>
      </c>
      <c r="B30" s="1" t="s">
        <v>276</v>
      </c>
      <c r="C30" s="1" t="s">
        <v>280</v>
      </c>
    </row>
    <row r="31" spans="1:3">
      <c r="A31" s="1">
        <v>612235</v>
      </c>
      <c r="B31" s="1" t="s">
        <v>275</v>
      </c>
      <c r="C31" s="1" t="s">
        <v>279</v>
      </c>
    </row>
    <row r="32" spans="1:3">
      <c r="A32" s="1">
        <v>795574</v>
      </c>
      <c r="B32" s="1" t="s">
        <v>276</v>
      </c>
      <c r="C32" s="1" t="s">
        <v>280</v>
      </c>
    </row>
    <row r="33" spans="1:3">
      <c r="A33" s="1">
        <v>830385</v>
      </c>
      <c r="B33" s="1" t="s">
        <v>274</v>
      </c>
      <c r="C33" s="1" t="s">
        <v>278</v>
      </c>
    </row>
    <row r="34" spans="1:3">
      <c r="A34" s="1">
        <v>990678</v>
      </c>
      <c r="B34" s="1" t="s">
        <v>276</v>
      </c>
      <c r="C34" s="1" t="s">
        <v>280</v>
      </c>
    </row>
  </sheetData>
  <mergeCells count="3">
    <mergeCell ref="A1:C1"/>
    <mergeCell ref="F1:I1"/>
    <mergeCell ref="A19:C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1FE5-927C-438E-B363-7AC17F903870}">
  <dimension ref="A1:H16"/>
  <sheetViews>
    <sheetView workbookViewId="0">
      <selection activeCell="B12" sqref="B12"/>
    </sheetView>
  </sheetViews>
  <sheetFormatPr defaultRowHeight="15"/>
  <cols>
    <col min="1" max="1" width="16.85546875" customWidth="1"/>
    <col min="2" max="2" width="20.85546875" customWidth="1"/>
    <col min="5" max="5" width="15.28515625" customWidth="1"/>
    <col min="6" max="6" width="16.5703125" customWidth="1"/>
    <col min="7" max="7" width="15.42578125" customWidth="1"/>
  </cols>
  <sheetData>
    <row r="1" spans="1:8" ht="24">
      <c r="A1" s="90" t="s">
        <v>281</v>
      </c>
      <c r="B1" s="90"/>
      <c r="E1" s="90" t="s">
        <v>266</v>
      </c>
      <c r="F1" s="90"/>
      <c r="G1" s="90"/>
      <c r="H1" s="34"/>
    </row>
    <row r="3" spans="1:8" ht="15.75">
      <c r="A3" s="111" t="s">
        <v>282</v>
      </c>
      <c r="B3" s="111" t="s">
        <v>283</v>
      </c>
      <c r="E3" s="111" t="s">
        <v>108</v>
      </c>
      <c r="F3" s="111" t="s">
        <v>252</v>
      </c>
      <c r="G3" s="111" t="s">
        <v>283</v>
      </c>
      <c r="H3" s="45"/>
    </row>
    <row r="4" spans="1:8">
      <c r="A4" s="49">
        <v>25000</v>
      </c>
      <c r="B4" s="1" t="s">
        <v>284</v>
      </c>
      <c r="E4" s="1">
        <v>990678</v>
      </c>
      <c r="F4" s="49">
        <v>84289</v>
      </c>
      <c r="G4" s="1" t="str">
        <f>VLOOKUP(E4,A4:B8,2,TRUE)</f>
        <v>Level E</v>
      </c>
    </row>
    <row r="5" spans="1:8">
      <c r="A5" s="49">
        <v>50000</v>
      </c>
      <c r="B5" s="1" t="s">
        <v>285</v>
      </c>
      <c r="E5" s="1">
        <v>830385</v>
      </c>
      <c r="F5" s="49">
        <v>137670</v>
      </c>
      <c r="G5" s="1" t="str">
        <f t="shared" ref="G5:G8" si="0">VLOOKUP(E5,A5:B9,2,TRUE)</f>
        <v>Level E</v>
      </c>
    </row>
    <row r="6" spans="1:8">
      <c r="A6" s="49">
        <v>75000</v>
      </c>
      <c r="B6" s="1" t="s">
        <v>286</v>
      </c>
      <c r="E6" s="1">
        <v>795574</v>
      </c>
      <c r="F6" s="49">
        <v>190024</v>
      </c>
      <c r="G6" s="1" t="str">
        <f t="shared" si="0"/>
        <v>Level E</v>
      </c>
    </row>
    <row r="7" spans="1:8">
      <c r="A7" s="49">
        <v>100000</v>
      </c>
      <c r="B7" s="1" t="s">
        <v>288</v>
      </c>
      <c r="E7" s="1">
        <v>580622</v>
      </c>
      <c r="F7" s="49">
        <v>122604</v>
      </c>
      <c r="G7" s="1" t="str">
        <f t="shared" si="0"/>
        <v>Level E</v>
      </c>
    </row>
    <row r="8" spans="1:8">
      <c r="A8" s="49">
        <v>150000</v>
      </c>
      <c r="B8" s="1" t="s">
        <v>287</v>
      </c>
      <c r="E8" s="1">
        <v>549457</v>
      </c>
      <c r="F8" s="49">
        <v>111709</v>
      </c>
      <c r="G8" s="1" t="str">
        <f t="shared" si="0"/>
        <v>Level E</v>
      </c>
    </row>
    <row r="9" spans="1:8">
      <c r="E9" s="1">
        <v>392128</v>
      </c>
      <c r="F9" s="49">
        <v>85931</v>
      </c>
      <c r="G9" s="1" t="str">
        <f>VLOOKUP(E9,A4:B8,2,TRUE)</f>
        <v>Level E</v>
      </c>
    </row>
    <row r="10" spans="1:8">
      <c r="E10" s="1">
        <v>391006</v>
      </c>
      <c r="F10" s="49">
        <v>168114</v>
      </c>
      <c r="G10" s="1" t="str">
        <f>VLOOKUP(E10,A4:B8,2,TRUE)</f>
        <v>Level E</v>
      </c>
    </row>
    <row r="11" spans="1:8">
      <c r="E11" s="1">
        <v>352711</v>
      </c>
      <c r="F11" s="49">
        <v>89627</v>
      </c>
      <c r="G11" s="1" t="str">
        <f>VLOOKUP(E11,A4:B8,2,TRUE)</f>
        <v>Level E</v>
      </c>
    </row>
    <row r="12" spans="1:8">
      <c r="E12" s="1">
        <v>253072</v>
      </c>
      <c r="F12" s="49">
        <v>149946</v>
      </c>
      <c r="G12" s="1" t="str">
        <f>VLOOKUP(E12,A4:B8,2,TRUE)</f>
        <v>Level E</v>
      </c>
    </row>
    <row r="13" spans="1:8">
      <c r="E13" s="1">
        <v>612235</v>
      </c>
      <c r="F13" s="49">
        <v>145893</v>
      </c>
      <c r="G13" s="1" t="str">
        <f>VLOOKUP(E13,A4:B8,2,TRUE)</f>
        <v>Level E</v>
      </c>
    </row>
    <row r="14" spans="1:8">
      <c r="E14" s="1">
        <v>611810</v>
      </c>
      <c r="F14" s="49">
        <v>64757</v>
      </c>
      <c r="G14" s="1" t="str">
        <f>VLOOKUP(E14,A4:B8,2,TRUE)</f>
        <v>Level E</v>
      </c>
    </row>
    <row r="15" spans="1:8">
      <c r="E15" s="1">
        <v>602693</v>
      </c>
      <c r="F15" s="49">
        <v>71478</v>
      </c>
      <c r="G15" s="1" t="str">
        <f>VLOOKUP(E15,A4:B8,2,TRUE)</f>
        <v>Level E</v>
      </c>
    </row>
    <row r="16" spans="1:8">
      <c r="E16" s="1">
        <v>110608</v>
      </c>
      <c r="F16" s="49">
        <v>131505</v>
      </c>
      <c r="G16" s="1" t="str">
        <f>VLOOKUP(E16,A4:B8,2,TRUE)</f>
        <v>Level D</v>
      </c>
    </row>
  </sheetData>
  <mergeCells count="2">
    <mergeCell ref="A1:B1"/>
    <mergeCell ref="E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CB6F-1ABD-4149-8B99-54C41FAED60D}">
  <dimension ref="A1:G21"/>
  <sheetViews>
    <sheetView workbookViewId="0">
      <selection activeCell="F18" sqref="F18"/>
    </sheetView>
  </sheetViews>
  <sheetFormatPr defaultRowHeight="15"/>
  <cols>
    <col min="1" max="1" width="21.5703125" customWidth="1"/>
    <col min="2" max="2" width="19.5703125" customWidth="1"/>
    <col min="3" max="3" width="21.85546875" customWidth="1"/>
    <col min="4" max="4" width="25.7109375" customWidth="1"/>
    <col min="5" max="5" width="15.140625" customWidth="1"/>
    <col min="6" max="6" width="16.28515625" customWidth="1"/>
    <col min="7" max="7" width="15.42578125" customWidth="1"/>
  </cols>
  <sheetData>
    <row r="1" spans="1:7" ht="24">
      <c r="A1" s="91" t="s">
        <v>321</v>
      </c>
      <c r="B1" s="91"/>
      <c r="C1" s="91"/>
    </row>
    <row r="3" spans="1:7" ht="15.75">
      <c r="A3" s="111" t="s">
        <v>108</v>
      </c>
      <c r="B3" s="111" t="s">
        <v>109</v>
      </c>
      <c r="C3" s="111" t="s">
        <v>80</v>
      </c>
      <c r="D3" s="111" t="s">
        <v>293</v>
      </c>
      <c r="E3" s="111" t="s">
        <v>217</v>
      </c>
      <c r="F3" s="111" t="s">
        <v>291</v>
      </c>
      <c r="G3" s="111" t="s">
        <v>83</v>
      </c>
    </row>
    <row r="4" spans="1:7">
      <c r="A4" s="1" t="s">
        <v>316</v>
      </c>
      <c r="B4" s="18" t="s">
        <v>0</v>
      </c>
      <c r="C4" s="1" t="s">
        <v>292</v>
      </c>
      <c r="D4" s="1" t="s">
        <v>294</v>
      </c>
      <c r="E4" s="1">
        <v>18000</v>
      </c>
      <c r="F4" s="1" t="s">
        <v>304</v>
      </c>
      <c r="G4" s="1" t="s">
        <v>307</v>
      </c>
    </row>
    <row r="5" spans="1:7">
      <c r="A5" s="1" t="s">
        <v>314</v>
      </c>
      <c r="B5" s="18" t="s">
        <v>2</v>
      </c>
      <c r="C5" s="1" t="s">
        <v>94</v>
      </c>
      <c r="D5" s="1" t="s">
        <v>295</v>
      </c>
      <c r="E5" s="1">
        <v>22000</v>
      </c>
      <c r="F5" s="1" t="s">
        <v>304</v>
      </c>
      <c r="G5" s="1" t="s">
        <v>307</v>
      </c>
    </row>
    <row r="6" spans="1:7">
      <c r="A6" s="1" t="s">
        <v>317</v>
      </c>
      <c r="B6" s="18" t="s">
        <v>3</v>
      </c>
      <c r="C6" s="1" t="s">
        <v>219</v>
      </c>
      <c r="D6" s="1" t="s">
        <v>296</v>
      </c>
      <c r="E6" s="1">
        <v>25000</v>
      </c>
      <c r="F6" s="1" t="s">
        <v>305</v>
      </c>
      <c r="G6" s="1" t="s">
        <v>307</v>
      </c>
    </row>
    <row r="7" spans="1:7">
      <c r="A7" s="1" t="s">
        <v>310</v>
      </c>
      <c r="B7" s="18" t="s">
        <v>4</v>
      </c>
      <c r="C7" s="1" t="s">
        <v>292</v>
      </c>
      <c r="D7" s="1" t="s">
        <v>297</v>
      </c>
      <c r="E7" s="1">
        <v>20000</v>
      </c>
      <c r="F7" s="1" t="s">
        <v>304</v>
      </c>
      <c r="G7" s="1" t="s">
        <v>307</v>
      </c>
    </row>
    <row r="8" spans="1:7">
      <c r="A8" s="1" t="s">
        <v>312</v>
      </c>
      <c r="B8" s="18" t="s">
        <v>5</v>
      </c>
      <c r="C8" s="1" t="s">
        <v>93</v>
      </c>
      <c r="D8" s="1" t="s">
        <v>298</v>
      </c>
      <c r="E8" s="1">
        <v>28000</v>
      </c>
      <c r="F8" s="1" t="s">
        <v>304</v>
      </c>
      <c r="G8" s="1" t="s">
        <v>307</v>
      </c>
    </row>
    <row r="9" spans="1:7">
      <c r="A9" s="1" t="s">
        <v>318</v>
      </c>
      <c r="B9" s="18" t="s">
        <v>6</v>
      </c>
      <c r="C9" s="1" t="s">
        <v>292</v>
      </c>
      <c r="D9" s="1" t="s">
        <v>299</v>
      </c>
      <c r="E9" s="1">
        <v>17500</v>
      </c>
      <c r="F9" s="1" t="s">
        <v>306</v>
      </c>
      <c r="G9" s="1" t="s">
        <v>308</v>
      </c>
    </row>
    <row r="10" spans="1:7">
      <c r="A10" s="1" t="s">
        <v>311</v>
      </c>
      <c r="B10" s="18" t="s">
        <v>7</v>
      </c>
      <c r="C10" s="1" t="s">
        <v>93</v>
      </c>
      <c r="D10" s="1" t="s">
        <v>300</v>
      </c>
      <c r="E10" s="1">
        <v>30000</v>
      </c>
      <c r="F10" s="1" t="s">
        <v>201</v>
      </c>
      <c r="G10" s="1" t="s">
        <v>307</v>
      </c>
    </row>
    <row r="11" spans="1:7">
      <c r="A11" s="1" t="s">
        <v>319</v>
      </c>
      <c r="B11" s="18" t="s">
        <v>9</v>
      </c>
      <c r="C11" s="1" t="s">
        <v>94</v>
      </c>
      <c r="D11" s="1" t="s">
        <v>301</v>
      </c>
      <c r="E11" s="1">
        <v>24000</v>
      </c>
      <c r="F11" s="1" t="s">
        <v>304</v>
      </c>
      <c r="G11" s="1" t="s">
        <v>307</v>
      </c>
    </row>
    <row r="12" spans="1:7">
      <c r="A12" s="1" t="s">
        <v>320</v>
      </c>
      <c r="B12" s="18" t="s">
        <v>10</v>
      </c>
      <c r="C12" s="1" t="s">
        <v>219</v>
      </c>
      <c r="D12" s="1" t="s">
        <v>302</v>
      </c>
      <c r="E12" s="1">
        <v>26000</v>
      </c>
      <c r="F12" s="1" t="s">
        <v>305</v>
      </c>
      <c r="G12" s="1" t="s">
        <v>307</v>
      </c>
    </row>
    <row r="13" spans="1:7">
      <c r="A13" s="1" t="s">
        <v>313</v>
      </c>
      <c r="B13" s="18" t="s">
        <v>11</v>
      </c>
      <c r="C13" s="1" t="s">
        <v>292</v>
      </c>
      <c r="D13" s="1" t="s">
        <v>303</v>
      </c>
      <c r="E13" s="1">
        <v>19000</v>
      </c>
      <c r="F13" s="1" t="s">
        <v>304</v>
      </c>
      <c r="G13" s="1" t="s">
        <v>307</v>
      </c>
    </row>
    <row r="16" spans="1:7" ht="15.75">
      <c r="A16" s="113" t="s">
        <v>309</v>
      </c>
      <c r="B16" s="114"/>
      <c r="C16" s="114"/>
      <c r="D16" s="114"/>
    </row>
    <row r="17" spans="1:4">
      <c r="A17" s="1" t="s">
        <v>222</v>
      </c>
      <c r="B17" s="1" t="s">
        <v>310</v>
      </c>
      <c r="C17" s="1" t="s">
        <v>289</v>
      </c>
      <c r="D17" s="1" t="str">
        <f>_xlfn.XLOOKUP(B17,A4:A13,B4:B13,"NOT FOUND")</f>
        <v>Abi</v>
      </c>
    </row>
    <row r="18" spans="1:4">
      <c r="A18" s="1" t="s">
        <v>222</v>
      </c>
      <c r="B18" s="1" t="s">
        <v>311</v>
      </c>
      <c r="C18" s="1" t="s">
        <v>224</v>
      </c>
      <c r="D18" s="1" t="str">
        <f>_xlfn.XLOOKUP(B18,A4:A13,C4:C13,"NOT FOUND")</f>
        <v>IT</v>
      </c>
    </row>
    <row r="19" spans="1:4">
      <c r="A19" s="1" t="s">
        <v>222</v>
      </c>
      <c r="B19" s="1" t="s">
        <v>312</v>
      </c>
      <c r="C19" s="1" t="s">
        <v>225</v>
      </c>
      <c r="D19" s="1">
        <f>_xlfn.XLOOKUP(B19,A4:A13,E4:E13,"NOT FOUND")</f>
        <v>28000</v>
      </c>
    </row>
    <row r="20" spans="1:4">
      <c r="A20" s="1" t="s">
        <v>222</v>
      </c>
      <c r="B20" s="1" t="s">
        <v>313</v>
      </c>
      <c r="C20" s="1" t="s">
        <v>290</v>
      </c>
      <c r="D20" s="1" t="str">
        <f>_xlfn.XLOOKUP(B20,A6:A15,F4:F13,"NOT FOUND")</f>
        <v xml:space="preserve">Chennai </v>
      </c>
    </row>
    <row r="21" spans="1:4">
      <c r="A21" s="1" t="s">
        <v>222</v>
      </c>
      <c r="B21" s="1" t="s">
        <v>314</v>
      </c>
      <c r="C21" s="1" t="s">
        <v>315</v>
      </c>
      <c r="D21" s="1" t="str">
        <f>_xlfn.XLOOKUP(B21,A4:A13,D4:D13,"NOT FOUND")</f>
        <v>HR Executive</v>
      </c>
    </row>
  </sheetData>
  <mergeCells count="2">
    <mergeCell ref="A1:C1"/>
    <mergeCell ref="A16:D16"/>
  </mergeCells>
  <phoneticPr fontId="10"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0C87-6E1D-4908-8EFB-1301B88ABB83}">
  <dimension ref="A1:F22"/>
  <sheetViews>
    <sheetView workbookViewId="0">
      <selection activeCell="E21" sqref="E21"/>
    </sheetView>
  </sheetViews>
  <sheetFormatPr defaultRowHeight="15"/>
  <cols>
    <col min="1" max="1" width="24.85546875" customWidth="1"/>
    <col min="2" max="2" width="15.28515625" customWidth="1"/>
    <col min="3" max="3" width="14.28515625" customWidth="1"/>
    <col min="4" max="4" width="16.140625" customWidth="1"/>
    <col min="5" max="5" width="15.5703125" customWidth="1"/>
    <col min="6" max="6" width="14.85546875" customWidth="1"/>
  </cols>
  <sheetData>
    <row r="1" spans="1:6" ht="24">
      <c r="A1" s="90" t="s">
        <v>330</v>
      </c>
      <c r="B1" s="90"/>
      <c r="C1" s="90"/>
      <c r="D1" s="90"/>
      <c r="E1" s="90"/>
      <c r="F1" s="90"/>
    </row>
    <row r="3" spans="1:6" ht="15.75">
      <c r="A3" s="50" t="s">
        <v>108</v>
      </c>
      <c r="B3" s="50" t="s">
        <v>322</v>
      </c>
      <c r="C3" s="50" t="s">
        <v>323</v>
      </c>
      <c r="D3" s="50" t="s">
        <v>324</v>
      </c>
      <c r="E3" s="50" t="s">
        <v>325</v>
      </c>
      <c r="F3" s="50" t="s">
        <v>326</v>
      </c>
    </row>
    <row r="4" spans="1:6">
      <c r="A4" s="1" t="s">
        <v>109</v>
      </c>
      <c r="B4" s="18" t="s">
        <v>0</v>
      </c>
      <c r="C4" s="1" t="s">
        <v>2</v>
      </c>
      <c r="D4" s="1" t="s">
        <v>5</v>
      </c>
      <c r="E4" s="1" t="s">
        <v>3</v>
      </c>
      <c r="F4" s="1" t="s">
        <v>4</v>
      </c>
    </row>
    <row r="5" spans="1:6">
      <c r="A5" s="1" t="s">
        <v>80</v>
      </c>
      <c r="B5" s="18" t="s">
        <v>328</v>
      </c>
      <c r="C5" s="1" t="s">
        <v>94</v>
      </c>
      <c r="D5" s="1" t="s">
        <v>292</v>
      </c>
      <c r="E5" s="1" t="s">
        <v>219</v>
      </c>
      <c r="F5" s="1" t="s">
        <v>329</v>
      </c>
    </row>
    <row r="6" spans="1:6">
      <c r="A6" s="1" t="s">
        <v>327</v>
      </c>
      <c r="B6" s="18">
        <v>22000</v>
      </c>
      <c r="C6" s="1">
        <v>25000</v>
      </c>
      <c r="D6" s="1">
        <v>33000</v>
      </c>
      <c r="E6" s="1">
        <v>28000</v>
      </c>
      <c r="F6" s="1">
        <v>24000</v>
      </c>
    </row>
    <row r="7" spans="1:6">
      <c r="B7" s="47"/>
    </row>
    <row r="8" spans="1:6" ht="15.75">
      <c r="A8" s="50" t="s">
        <v>331</v>
      </c>
      <c r="B8" s="50" t="s">
        <v>324</v>
      </c>
    </row>
    <row r="9" spans="1:6">
      <c r="A9" s="1" t="s">
        <v>109</v>
      </c>
      <c r="B9" s="18" t="str">
        <f>HLOOKUP(B8,B3:F6,2,FALSE)</f>
        <v>Lavanya</v>
      </c>
    </row>
    <row r="10" spans="1:6">
      <c r="A10" s="1" t="s">
        <v>80</v>
      </c>
      <c r="B10" s="18" t="str">
        <f>HLOOKUP(B8,B3:F6,3,FALSE)</f>
        <v>ITES</v>
      </c>
    </row>
    <row r="11" spans="1:6">
      <c r="A11" s="1" t="s">
        <v>327</v>
      </c>
      <c r="B11" s="18">
        <f>HLOOKUP(B8,B3:F6,4,FALSE)</f>
        <v>33000</v>
      </c>
    </row>
    <row r="12" spans="1:6">
      <c r="B12" s="47"/>
    </row>
    <row r="13" spans="1:6">
      <c r="B13" s="47"/>
    </row>
    <row r="14" spans="1:6" ht="15.75">
      <c r="A14" s="50" t="s">
        <v>332</v>
      </c>
      <c r="B14" s="50" t="s">
        <v>333</v>
      </c>
      <c r="C14" s="50" t="s">
        <v>334</v>
      </c>
      <c r="D14" s="50" t="s">
        <v>335</v>
      </c>
      <c r="E14" s="50" t="s">
        <v>336</v>
      </c>
      <c r="F14" s="50" t="s">
        <v>337</v>
      </c>
    </row>
    <row r="15" spans="1:6">
      <c r="A15" s="1" t="s">
        <v>338</v>
      </c>
      <c r="B15" s="1" t="s">
        <v>341</v>
      </c>
      <c r="C15" s="1" t="s">
        <v>342</v>
      </c>
      <c r="D15" s="1" t="s">
        <v>343</v>
      </c>
      <c r="E15" s="1" t="s">
        <v>344</v>
      </c>
      <c r="F15" s="1" t="s">
        <v>345</v>
      </c>
    </row>
    <row r="16" spans="1:6">
      <c r="A16" s="1" t="s">
        <v>339</v>
      </c>
      <c r="B16" s="1" t="s">
        <v>93</v>
      </c>
      <c r="C16" s="1" t="s">
        <v>93</v>
      </c>
      <c r="D16" s="1" t="s">
        <v>346</v>
      </c>
      <c r="E16" s="1" t="s">
        <v>347</v>
      </c>
      <c r="F16" s="1" t="s">
        <v>348</v>
      </c>
    </row>
    <row r="17" spans="1:6">
      <c r="A17" s="1" t="s">
        <v>340</v>
      </c>
      <c r="B17" s="1">
        <v>850</v>
      </c>
      <c r="C17" s="1">
        <v>450</v>
      </c>
      <c r="D17" s="1">
        <v>1200</v>
      </c>
      <c r="E17" s="1">
        <v>9500</v>
      </c>
      <c r="F17" s="1">
        <v>1800</v>
      </c>
    </row>
    <row r="19" spans="1:6" ht="15.75">
      <c r="A19" s="50" t="s">
        <v>349</v>
      </c>
      <c r="B19" s="50" t="s">
        <v>336</v>
      </c>
    </row>
    <row r="20" spans="1:6">
      <c r="A20" s="1" t="s">
        <v>338</v>
      </c>
      <c r="B20" s="1" t="str">
        <f>HLOOKUP(B19,B14:F17,2,FALSE)</f>
        <v>Monitor</v>
      </c>
    </row>
    <row r="21" spans="1:6">
      <c r="A21" s="1" t="s">
        <v>339</v>
      </c>
      <c r="B21" s="1" t="str">
        <f>HLOOKUP(B19,B14:F17,3,FALSE)</f>
        <v>Display</v>
      </c>
    </row>
    <row r="22" spans="1:6">
      <c r="A22" s="1" t="s">
        <v>340</v>
      </c>
      <c r="B22" s="1">
        <f>HLOOKUP(B19,B14:F17,4,FALSE)</f>
        <v>9500</v>
      </c>
    </row>
  </sheetData>
  <mergeCells count="1">
    <mergeCell ref="A1:F1"/>
  </mergeCells>
  <phoneticPr fontId="1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D0CE-D7C2-407B-99BB-68DD0F0A3C3A}">
  <dimension ref="A1:H43"/>
  <sheetViews>
    <sheetView topLeftCell="A12" workbookViewId="0">
      <selection activeCell="F25" sqref="F25"/>
    </sheetView>
  </sheetViews>
  <sheetFormatPr defaultRowHeight="15"/>
  <cols>
    <col min="1" max="1" width="26" customWidth="1"/>
    <col min="2" max="2" width="21.5703125" customWidth="1"/>
    <col min="3" max="3" width="21.42578125" customWidth="1"/>
    <col min="4" max="4" width="22" customWidth="1"/>
    <col min="5" max="5" width="19.85546875" customWidth="1"/>
    <col min="6" max="7" width="19" customWidth="1"/>
    <col min="8" max="8" width="14.5703125" customWidth="1"/>
  </cols>
  <sheetData>
    <row r="1" spans="1:8" ht="26.25">
      <c r="A1" s="115" t="s">
        <v>352</v>
      </c>
      <c r="B1" s="115"/>
      <c r="C1" s="115"/>
      <c r="D1" s="115"/>
      <c r="E1" s="115"/>
      <c r="F1" s="115"/>
      <c r="G1" s="115"/>
      <c r="H1" s="115"/>
    </row>
    <row r="3" spans="1:8" ht="15.75">
      <c r="A3" s="108" t="s">
        <v>108</v>
      </c>
      <c r="B3" s="108" t="s">
        <v>109</v>
      </c>
      <c r="C3" s="108" t="s">
        <v>80</v>
      </c>
      <c r="D3" s="108" t="s">
        <v>350</v>
      </c>
      <c r="E3" s="108" t="s">
        <v>217</v>
      </c>
      <c r="F3" s="108" t="s">
        <v>291</v>
      </c>
      <c r="G3" s="108" t="s">
        <v>351</v>
      </c>
      <c r="H3" s="108" t="s">
        <v>83</v>
      </c>
    </row>
    <row r="4" spans="1:8">
      <c r="A4" s="1" t="s">
        <v>316</v>
      </c>
      <c r="B4" s="18" t="s">
        <v>0</v>
      </c>
      <c r="C4" s="1" t="s">
        <v>292</v>
      </c>
      <c r="D4" s="1" t="s">
        <v>294</v>
      </c>
      <c r="E4" s="1">
        <v>18000</v>
      </c>
      <c r="F4" s="1" t="s">
        <v>304</v>
      </c>
      <c r="G4" s="12">
        <v>45453</v>
      </c>
      <c r="H4" s="1" t="s">
        <v>307</v>
      </c>
    </row>
    <row r="5" spans="1:8">
      <c r="A5" s="1" t="s">
        <v>314</v>
      </c>
      <c r="B5" s="18" t="s">
        <v>2</v>
      </c>
      <c r="C5" s="1" t="s">
        <v>94</v>
      </c>
      <c r="D5" s="1" t="s">
        <v>295</v>
      </c>
      <c r="E5" s="1">
        <v>22000</v>
      </c>
      <c r="F5" s="1" t="s">
        <v>304</v>
      </c>
      <c r="G5" s="12">
        <v>45159</v>
      </c>
      <c r="H5" s="1" t="s">
        <v>307</v>
      </c>
    </row>
    <row r="6" spans="1:8">
      <c r="A6" s="1" t="s">
        <v>317</v>
      </c>
      <c r="B6" s="18" t="s">
        <v>3</v>
      </c>
      <c r="C6" s="1" t="s">
        <v>219</v>
      </c>
      <c r="D6" s="1" t="s">
        <v>296</v>
      </c>
      <c r="E6" s="1">
        <v>25000</v>
      </c>
      <c r="F6" s="1" t="s">
        <v>305</v>
      </c>
      <c r="G6" s="12">
        <v>44880</v>
      </c>
      <c r="H6" s="1" t="s">
        <v>307</v>
      </c>
    </row>
    <row r="7" spans="1:8">
      <c r="A7" s="1" t="s">
        <v>310</v>
      </c>
      <c r="B7" s="18" t="s">
        <v>4</v>
      </c>
      <c r="C7" s="1" t="s">
        <v>292</v>
      </c>
      <c r="D7" s="1" t="s">
        <v>297</v>
      </c>
      <c r="E7" s="1">
        <v>20000</v>
      </c>
      <c r="F7" s="1" t="s">
        <v>304</v>
      </c>
      <c r="G7" s="12">
        <v>45299</v>
      </c>
      <c r="H7" s="1" t="s">
        <v>307</v>
      </c>
    </row>
    <row r="8" spans="1:8">
      <c r="A8" s="1" t="s">
        <v>312</v>
      </c>
      <c r="B8" s="18" t="s">
        <v>5</v>
      </c>
      <c r="C8" s="1" t="s">
        <v>93</v>
      </c>
      <c r="D8" s="1" t="s">
        <v>298</v>
      </c>
      <c r="E8" s="1">
        <v>28000</v>
      </c>
      <c r="F8" s="1" t="s">
        <v>304</v>
      </c>
      <c r="G8" s="12">
        <v>44396</v>
      </c>
      <c r="H8" s="1" t="s">
        <v>307</v>
      </c>
    </row>
    <row r="9" spans="1:8">
      <c r="A9" s="1" t="s">
        <v>318</v>
      </c>
      <c r="B9" s="18" t="s">
        <v>6</v>
      </c>
      <c r="C9" s="1" t="s">
        <v>292</v>
      </c>
      <c r="D9" s="1" t="s">
        <v>299</v>
      </c>
      <c r="E9" s="1">
        <v>17500</v>
      </c>
      <c r="F9" s="1" t="s">
        <v>306</v>
      </c>
      <c r="G9" s="12">
        <v>45012</v>
      </c>
      <c r="H9" s="1" t="s">
        <v>308</v>
      </c>
    </row>
    <row r="10" spans="1:8">
      <c r="A10" s="1" t="s">
        <v>311</v>
      </c>
      <c r="B10" s="18" t="s">
        <v>7</v>
      </c>
      <c r="C10" s="1" t="s">
        <v>93</v>
      </c>
      <c r="D10" s="1" t="s">
        <v>300</v>
      </c>
      <c r="E10" s="1">
        <v>30000</v>
      </c>
      <c r="F10" s="1" t="s">
        <v>201</v>
      </c>
      <c r="G10" s="12">
        <v>45537</v>
      </c>
      <c r="H10" s="1" t="s">
        <v>307</v>
      </c>
    </row>
    <row r="11" spans="1:8">
      <c r="A11" s="1" t="s">
        <v>319</v>
      </c>
      <c r="B11" s="18" t="s">
        <v>9</v>
      </c>
      <c r="C11" s="1" t="s">
        <v>94</v>
      </c>
      <c r="D11" s="1" t="s">
        <v>301</v>
      </c>
      <c r="E11" s="1">
        <v>24000</v>
      </c>
      <c r="F11" s="1" t="s">
        <v>304</v>
      </c>
      <c r="G11" s="12">
        <v>44711</v>
      </c>
      <c r="H11" s="1" t="s">
        <v>307</v>
      </c>
    </row>
    <row r="12" spans="1:8">
      <c r="A12" s="1" t="s">
        <v>320</v>
      </c>
      <c r="B12" s="18" t="s">
        <v>10</v>
      </c>
      <c r="C12" s="1" t="s">
        <v>219</v>
      </c>
      <c r="D12" s="1" t="s">
        <v>302</v>
      </c>
      <c r="E12" s="1">
        <v>26000</v>
      </c>
      <c r="F12" s="1" t="s">
        <v>305</v>
      </c>
      <c r="G12" s="12">
        <v>45271</v>
      </c>
      <c r="H12" s="1" t="s">
        <v>307</v>
      </c>
    </row>
    <row r="13" spans="1:8">
      <c r="A13" s="1" t="s">
        <v>313</v>
      </c>
      <c r="B13" s="18" t="s">
        <v>11</v>
      </c>
      <c r="C13" s="1" t="s">
        <v>292</v>
      </c>
      <c r="D13" s="1" t="s">
        <v>303</v>
      </c>
      <c r="E13" s="1">
        <v>19000</v>
      </c>
      <c r="F13" s="1" t="s">
        <v>304</v>
      </c>
      <c r="G13" s="12">
        <v>44109</v>
      </c>
      <c r="H13" s="1" t="s">
        <v>307</v>
      </c>
    </row>
    <row r="16" spans="1:8" ht="18.75">
      <c r="A16" s="93" t="s">
        <v>353</v>
      </c>
      <c r="B16" s="93"/>
      <c r="C16" s="93"/>
      <c r="D16" s="93"/>
      <c r="E16" s="93"/>
      <c r="F16" s="93"/>
      <c r="G16" s="93"/>
      <c r="H16" s="93"/>
    </row>
    <row r="17" spans="1:8" ht="15.75">
      <c r="A17" s="43" t="s">
        <v>108</v>
      </c>
      <c r="B17" s="43" t="s">
        <v>109</v>
      </c>
      <c r="C17" s="43" t="s">
        <v>80</v>
      </c>
      <c r="D17" s="43" t="s">
        <v>350</v>
      </c>
      <c r="E17" s="43" t="s">
        <v>217</v>
      </c>
      <c r="F17" s="43" t="s">
        <v>291</v>
      </c>
      <c r="G17" s="43" t="s">
        <v>351</v>
      </c>
      <c r="H17" s="43" t="s">
        <v>83</v>
      </c>
    </row>
    <row r="18" spans="1:8">
      <c r="A18" s="1" t="s">
        <v>318</v>
      </c>
      <c r="B18" s="1" t="str">
        <f>VLOOKUP(A18,A4:H13,2,FALSE)</f>
        <v>Divya</v>
      </c>
      <c r="C18" s="1" t="str">
        <f>VLOOKUP(A18,A4:H13,3,FALSE)</f>
        <v>ITES</v>
      </c>
      <c r="D18" s="1" t="str">
        <f>VLOOKUP(A18,A4:H13,4,FALSE)</f>
        <v>Data Entey</v>
      </c>
      <c r="E18" s="1">
        <f>VLOOKUP(A18,A4:H13,5,FALSE)</f>
        <v>17500</v>
      </c>
      <c r="F18" s="1" t="str">
        <f>VLOOKUP(A18,A4:H13,6,FALSE)</f>
        <v>Coimbatore</v>
      </c>
      <c r="G18" s="12">
        <f>VLOOKUP(A18,A4:H13,7,FALSE)</f>
        <v>45012</v>
      </c>
      <c r="H18" s="1" t="str">
        <f>VLOOKUP(A18,A4:H13,8,FALSE)</f>
        <v>Inactive</v>
      </c>
    </row>
    <row r="21" spans="1:8" ht="18.75">
      <c r="A21" s="94" t="s">
        <v>354</v>
      </c>
      <c r="B21" s="94"/>
      <c r="C21" s="94"/>
      <c r="D21" s="94"/>
    </row>
    <row r="22" spans="1:8">
      <c r="A22" s="1" t="s">
        <v>222</v>
      </c>
      <c r="B22" s="1" t="s">
        <v>310</v>
      </c>
      <c r="C22" s="1" t="s">
        <v>289</v>
      </c>
      <c r="D22" s="1" t="str">
        <f>_xlfn.XLOOKUP(B22,A4:A13,B4:B13,"not found")</f>
        <v>Abi</v>
      </c>
    </row>
    <row r="23" spans="1:8">
      <c r="A23" s="1" t="s">
        <v>222</v>
      </c>
      <c r="B23" s="1" t="s">
        <v>311</v>
      </c>
      <c r="C23" s="1" t="s">
        <v>224</v>
      </c>
      <c r="D23" s="1" t="str">
        <f>_xlfn.XLOOKUP(B23,A4:A13,C4:C13,"not found")</f>
        <v>IT</v>
      </c>
    </row>
    <row r="24" spans="1:8">
      <c r="A24" s="1" t="s">
        <v>222</v>
      </c>
      <c r="B24" s="1" t="s">
        <v>312</v>
      </c>
      <c r="C24" s="1" t="s">
        <v>355</v>
      </c>
      <c r="D24" s="1" t="str">
        <f>_xlfn.XLOOKUP(B24,A4:A13,D4:D13,"not found")</f>
        <v>MIS Executive</v>
      </c>
    </row>
    <row r="25" spans="1:8">
      <c r="A25" s="1" t="s">
        <v>222</v>
      </c>
      <c r="B25" s="1" t="s">
        <v>313</v>
      </c>
      <c r="C25" s="1" t="s">
        <v>225</v>
      </c>
      <c r="D25" s="1">
        <f>_xlfn.XLOOKUP(B25,A4:A13,E4:E13,"not found")</f>
        <v>19000</v>
      </c>
    </row>
    <row r="26" spans="1:8">
      <c r="A26" s="1" t="s">
        <v>222</v>
      </c>
      <c r="B26" s="1" t="s">
        <v>314</v>
      </c>
      <c r="C26" s="1" t="s">
        <v>290</v>
      </c>
      <c r="D26" s="1" t="str">
        <f>_xlfn.XLOOKUP(B26,A4:A13,F4:F13,"not found")</f>
        <v xml:space="preserve">Chennai </v>
      </c>
    </row>
    <row r="29" spans="1:8" ht="21">
      <c r="A29" s="95" t="s">
        <v>356</v>
      </c>
      <c r="B29" s="95"/>
      <c r="C29" s="95"/>
      <c r="D29" s="95"/>
      <c r="E29" s="95"/>
      <c r="F29" s="95"/>
    </row>
    <row r="31" spans="1:8" ht="15.75">
      <c r="A31" s="50" t="s">
        <v>108</v>
      </c>
      <c r="B31" s="50" t="s">
        <v>322</v>
      </c>
      <c r="C31" s="50" t="s">
        <v>323</v>
      </c>
      <c r="D31" s="50" t="s">
        <v>324</v>
      </c>
      <c r="E31" s="50" t="s">
        <v>325</v>
      </c>
      <c r="F31" s="50" t="s">
        <v>326</v>
      </c>
    </row>
    <row r="32" spans="1:8">
      <c r="A32" s="1" t="s">
        <v>109</v>
      </c>
      <c r="B32" s="18" t="s">
        <v>0</v>
      </c>
      <c r="C32" s="1" t="s">
        <v>2</v>
      </c>
      <c r="D32" s="1" t="s">
        <v>5</v>
      </c>
      <c r="E32" s="1" t="s">
        <v>3</v>
      </c>
      <c r="F32" s="1" t="s">
        <v>4</v>
      </c>
    </row>
    <row r="33" spans="1:6">
      <c r="A33" s="1" t="s">
        <v>80</v>
      </c>
      <c r="B33" s="18" t="s">
        <v>328</v>
      </c>
      <c r="C33" s="1" t="s">
        <v>94</v>
      </c>
      <c r="D33" s="1" t="s">
        <v>292</v>
      </c>
      <c r="E33" s="1" t="s">
        <v>219</v>
      </c>
      <c r="F33" s="1" t="s">
        <v>329</v>
      </c>
    </row>
    <row r="34" spans="1:6">
      <c r="A34" s="1" t="s">
        <v>327</v>
      </c>
      <c r="B34" s="18">
        <v>22000</v>
      </c>
      <c r="C34" s="1">
        <v>25000</v>
      </c>
      <c r="D34" s="1">
        <v>33000</v>
      </c>
      <c r="E34" s="1">
        <v>28000</v>
      </c>
      <c r="F34" s="1">
        <v>24000</v>
      </c>
    </row>
    <row r="35" spans="1:6">
      <c r="A35" s="1" t="s">
        <v>350</v>
      </c>
      <c r="B35" s="1" t="s">
        <v>294</v>
      </c>
      <c r="C35" s="1" t="s">
        <v>295</v>
      </c>
      <c r="D35" s="1" t="s">
        <v>296</v>
      </c>
      <c r="E35" s="1" t="s">
        <v>297</v>
      </c>
      <c r="F35" s="1" t="s">
        <v>299</v>
      </c>
    </row>
    <row r="36" spans="1:6">
      <c r="A36" s="1" t="s">
        <v>291</v>
      </c>
      <c r="B36" s="1" t="s">
        <v>304</v>
      </c>
      <c r="C36" s="1" t="s">
        <v>305</v>
      </c>
      <c r="D36" s="1" t="s">
        <v>304</v>
      </c>
      <c r="E36" s="1" t="s">
        <v>201</v>
      </c>
      <c r="F36" s="1" t="s">
        <v>306</v>
      </c>
    </row>
    <row r="38" spans="1:6" ht="15.75">
      <c r="A38" s="50" t="s">
        <v>331</v>
      </c>
      <c r="B38" s="50" t="s">
        <v>324</v>
      </c>
    </row>
    <row r="39" spans="1:6">
      <c r="A39" s="1" t="s">
        <v>109</v>
      </c>
      <c r="B39" s="18" t="str">
        <f>HLOOKUP(B38,B31:F36,2,FALSE)</f>
        <v>Lavanya</v>
      </c>
    </row>
    <row r="40" spans="1:6">
      <c r="A40" s="1" t="s">
        <v>80</v>
      </c>
      <c r="B40" s="18" t="str">
        <f>HLOOKUP(B38,B31:F36,3,FALSE)</f>
        <v>ITES</v>
      </c>
    </row>
    <row r="41" spans="1:6">
      <c r="A41" s="1" t="s">
        <v>327</v>
      </c>
      <c r="B41" s="18">
        <f>HLOOKUP(B38,B31:F36,4,FALSE)</f>
        <v>33000</v>
      </c>
    </row>
    <row r="42" spans="1:6">
      <c r="A42" s="1" t="s">
        <v>350</v>
      </c>
      <c r="B42" s="1" t="str">
        <f>HLOOKUP(B38,B31:F36,5,FALSE)</f>
        <v>Accounts Executive</v>
      </c>
    </row>
    <row r="43" spans="1:6">
      <c r="A43" s="1" t="s">
        <v>291</v>
      </c>
      <c r="B43" s="1" t="str">
        <f>HLOOKUP(B38,B31:F36,6,FALSE)</f>
        <v xml:space="preserve">Chennai </v>
      </c>
    </row>
  </sheetData>
  <mergeCells count="4">
    <mergeCell ref="A16:H16"/>
    <mergeCell ref="A21:D21"/>
    <mergeCell ref="A29:F29"/>
    <mergeCell ref="A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8BFB-EEAA-4014-AD7B-5876B544D968}">
  <dimension ref="A1:F17"/>
  <sheetViews>
    <sheetView workbookViewId="0">
      <selection activeCell="F15" sqref="F15"/>
    </sheetView>
  </sheetViews>
  <sheetFormatPr defaultRowHeight="15"/>
  <cols>
    <col min="2" max="2" width="14.7109375" customWidth="1"/>
    <col min="3" max="3" width="12.85546875" customWidth="1"/>
    <col min="4" max="4" width="11.85546875" customWidth="1"/>
    <col min="5" max="5" width="13" customWidth="1"/>
    <col min="6" max="6" width="14" customWidth="1"/>
  </cols>
  <sheetData>
    <row r="1" spans="1:6" ht="24">
      <c r="A1" s="70" t="s">
        <v>372</v>
      </c>
      <c r="B1" s="70"/>
      <c r="C1" s="70"/>
      <c r="D1" s="70"/>
      <c r="E1" s="70"/>
      <c r="F1" s="70"/>
    </row>
    <row r="2" spans="1:6" ht="15.75">
      <c r="A2" s="51" t="s">
        <v>357</v>
      </c>
      <c r="B2" s="51" t="s">
        <v>332</v>
      </c>
      <c r="C2" s="51" t="s">
        <v>358</v>
      </c>
      <c r="D2" s="51" t="s">
        <v>359</v>
      </c>
      <c r="E2" s="51" t="s">
        <v>360</v>
      </c>
      <c r="F2" s="51" t="s">
        <v>361</v>
      </c>
    </row>
    <row r="3" spans="1:6">
      <c r="A3" s="1">
        <v>1</v>
      </c>
      <c r="B3" s="1" t="s">
        <v>362</v>
      </c>
      <c r="C3" s="11">
        <v>22</v>
      </c>
      <c r="D3" s="11">
        <v>44</v>
      </c>
      <c r="E3" s="11">
        <v>110</v>
      </c>
      <c r="F3" s="11">
        <v>220</v>
      </c>
    </row>
    <row r="4" spans="1:6">
      <c r="A4" s="1">
        <v>2</v>
      </c>
      <c r="B4" s="1" t="s">
        <v>363</v>
      </c>
      <c r="C4" s="11">
        <v>122</v>
      </c>
      <c r="D4" s="11">
        <v>244</v>
      </c>
      <c r="E4" s="11">
        <v>610</v>
      </c>
      <c r="F4" s="11">
        <v>1220</v>
      </c>
    </row>
    <row r="5" spans="1:6">
      <c r="A5" s="1">
        <v>3</v>
      </c>
      <c r="B5" s="1" t="s">
        <v>364</v>
      </c>
      <c r="C5" s="11">
        <v>50</v>
      </c>
      <c r="D5" s="11">
        <v>100</v>
      </c>
      <c r="E5" s="11">
        <v>250</v>
      </c>
      <c r="F5" s="11">
        <v>500</v>
      </c>
    </row>
    <row r="6" spans="1:6">
      <c r="A6" s="1">
        <v>4</v>
      </c>
      <c r="B6" s="1" t="s">
        <v>365</v>
      </c>
      <c r="C6" s="11">
        <v>68</v>
      </c>
      <c r="D6" s="11">
        <v>136</v>
      </c>
      <c r="E6" s="11">
        <v>340</v>
      </c>
      <c r="F6" s="11">
        <v>680</v>
      </c>
    </row>
    <row r="7" spans="1:6">
      <c r="A7" s="1">
        <v>5</v>
      </c>
      <c r="B7" s="1" t="s">
        <v>366</v>
      </c>
      <c r="C7" s="11">
        <v>18</v>
      </c>
      <c r="D7" s="11">
        <v>36</v>
      </c>
      <c r="E7" s="11">
        <v>90</v>
      </c>
      <c r="F7" s="11">
        <v>180</v>
      </c>
    </row>
    <row r="8" spans="1:6">
      <c r="A8" s="1">
        <v>6</v>
      </c>
      <c r="B8" s="1" t="s">
        <v>367</v>
      </c>
      <c r="C8" s="11">
        <v>42</v>
      </c>
      <c r="D8" s="11">
        <v>84</v>
      </c>
      <c r="E8" s="11">
        <v>210</v>
      </c>
      <c r="F8" s="11">
        <v>420</v>
      </c>
    </row>
    <row r="9" spans="1:6">
      <c r="A9" s="1">
        <v>7</v>
      </c>
      <c r="B9" s="1" t="s">
        <v>368</v>
      </c>
      <c r="C9" s="11">
        <v>190</v>
      </c>
      <c r="D9" s="11">
        <v>380</v>
      </c>
      <c r="E9" s="11">
        <v>950</v>
      </c>
      <c r="F9" s="11">
        <v>1900</v>
      </c>
    </row>
    <row r="10" spans="1:6">
      <c r="A10" s="1">
        <v>8</v>
      </c>
      <c r="B10" s="1" t="s">
        <v>369</v>
      </c>
      <c r="C10" s="11">
        <v>60</v>
      </c>
      <c r="D10" s="11">
        <v>120</v>
      </c>
      <c r="E10" s="11">
        <v>300</v>
      </c>
      <c r="F10" s="11">
        <v>600</v>
      </c>
    </row>
    <row r="11" spans="1:6">
      <c r="A11" s="1">
        <v>9</v>
      </c>
      <c r="B11" s="1" t="s">
        <v>370</v>
      </c>
      <c r="C11" s="11">
        <v>400</v>
      </c>
      <c r="D11" s="11">
        <v>800</v>
      </c>
      <c r="E11" s="11">
        <v>2000</v>
      </c>
      <c r="F11" s="11">
        <v>4000</v>
      </c>
    </row>
    <row r="12" spans="1:6">
      <c r="A12" s="1">
        <v>10</v>
      </c>
      <c r="B12" s="1" t="s">
        <v>371</v>
      </c>
      <c r="C12" s="11">
        <v>30</v>
      </c>
      <c r="D12" s="11">
        <v>60</v>
      </c>
      <c r="E12" s="11">
        <v>150</v>
      </c>
      <c r="F12" s="11">
        <v>300</v>
      </c>
    </row>
    <row r="13" spans="1:6">
      <c r="C13" s="36"/>
      <c r="D13" s="36"/>
      <c r="E13" s="36"/>
      <c r="F13" s="36"/>
    </row>
    <row r="15" spans="1:6" ht="15.75">
      <c r="A15" s="69" t="s">
        <v>372</v>
      </c>
      <c r="B15" s="69"/>
      <c r="C15" s="69"/>
    </row>
    <row r="16" spans="1:6" ht="15.75">
      <c r="A16" s="68" t="s">
        <v>373</v>
      </c>
      <c r="B16" s="68"/>
      <c r="C16" s="1" t="str">
        <f>INDEX(B3:B12,4)</f>
        <v>Rice</v>
      </c>
    </row>
    <row r="17" spans="1:3" ht="15.75">
      <c r="A17" s="68" t="s">
        <v>374</v>
      </c>
      <c r="B17" s="68"/>
      <c r="C17" s="1">
        <f>INDEX(B3:F12,4,3)</f>
        <v>136</v>
      </c>
    </row>
  </sheetData>
  <mergeCells count="4">
    <mergeCell ref="A16:B16"/>
    <mergeCell ref="A17:B17"/>
    <mergeCell ref="A15:C15"/>
    <mergeCell ref="A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0D9F-E886-44BF-A67C-AA255D6C53C9}">
  <dimension ref="A1:F17"/>
  <sheetViews>
    <sheetView workbookViewId="0">
      <selection activeCell="E15" sqref="E15"/>
    </sheetView>
  </sheetViews>
  <sheetFormatPr defaultRowHeight="15"/>
  <cols>
    <col min="1" max="1" width="13" customWidth="1"/>
    <col min="2" max="2" width="16.42578125" customWidth="1"/>
    <col min="3" max="3" width="13.140625" customWidth="1"/>
    <col min="4" max="4" width="14" customWidth="1"/>
    <col min="5" max="5" width="14.85546875" customWidth="1"/>
    <col min="6" max="6" width="14.42578125" customWidth="1"/>
  </cols>
  <sheetData>
    <row r="1" spans="1:6" ht="24">
      <c r="A1" s="70" t="s">
        <v>375</v>
      </c>
      <c r="B1" s="70"/>
      <c r="C1" s="70"/>
      <c r="D1" s="70"/>
      <c r="E1" s="70"/>
      <c r="F1" s="70"/>
    </row>
    <row r="2" spans="1:6" ht="15.75">
      <c r="A2" s="51" t="s">
        <v>357</v>
      </c>
      <c r="B2" s="51" t="s">
        <v>332</v>
      </c>
      <c r="C2" s="51" t="s">
        <v>358</v>
      </c>
      <c r="D2" s="51" t="s">
        <v>359</v>
      </c>
      <c r="E2" s="51" t="s">
        <v>360</v>
      </c>
      <c r="F2" s="51" t="s">
        <v>361</v>
      </c>
    </row>
    <row r="3" spans="1:6">
      <c r="A3" s="1">
        <v>1</v>
      </c>
      <c r="B3" s="1" t="s">
        <v>362</v>
      </c>
      <c r="C3" s="11">
        <v>22</v>
      </c>
      <c r="D3" s="11">
        <v>44</v>
      </c>
      <c r="E3" s="11">
        <v>110</v>
      </c>
      <c r="F3" s="11">
        <v>220</v>
      </c>
    </row>
    <row r="4" spans="1:6">
      <c r="A4" s="1">
        <v>2</v>
      </c>
      <c r="B4" s="1" t="s">
        <v>363</v>
      </c>
      <c r="C4" s="11">
        <v>122</v>
      </c>
      <c r="D4" s="11">
        <v>244</v>
      </c>
      <c r="E4" s="11">
        <v>610</v>
      </c>
      <c r="F4" s="11">
        <v>1220</v>
      </c>
    </row>
    <row r="5" spans="1:6">
      <c r="A5" s="1">
        <v>3</v>
      </c>
      <c r="B5" s="1" t="s">
        <v>364</v>
      </c>
      <c r="C5" s="11">
        <v>50</v>
      </c>
      <c r="D5" s="11">
        <v>100</v>
      </c>
      <c r="E5" s="11">
        <v>250</v>
      </c>
      <c r="F5" s="11">
        <v>500</v>
      </c>
    </row>
    <row r="6" spans="1:6">
      <c r="A6" s="1">
        <v>4</v>
      </c>
      <c r="B6" s="1" t="s">
        <v>365</v>
      </c>
      <c r="C6" s="11">
        <v>68</v>
      </c>
      <c r="D6" s="11">
        <v>136</v>
      </c>
      <c r="E6" s="11">
        <v>340</v>
      </c>
      <c r="F6" s="11">
        <v>680</v>
      </c>
    </row>
    <row r="7" spans="1:6">
      <c r="A7" s="1">
        <v>5</v>
      </c>
      <c r="B7" s="1" t="s">
        <v>366</v>
      </c>
      <c r="C7" s="11">
        <v>18</v>
      </c>
      <c r="D7" s="11">
        <v>36</v>
      </c>
      <c r="E7" s="11">
        <v>90</v>
      </c>
      <c r="F7" s="11">
        <v>180</v>
      </c>
    </row>
    <row r="8" spans="1:6">
      <c r="A8" s="1">
        <v>6</v>
      </c>
      <c r="B8" s="1" t="s">
        <v>367</v>
      </c>
      <c r="C8" s="11">
        <v>42</v>
      </c>
      <c r="D8" s="11">
        <v>84</v>
      </c>
      <c r="E8" s="11">
        <v>210</v>
      </c>
      <c r="F8" s="11">
        <v>420</v>
      </c>
    </row>
    <row r="9" spans="1:6">
      <c r="A9" s="1">
        <v>7</v>
      </c>
      <c r="B9" s="1" t="s">
        <v>368</v>
      </c>
      <c r="C9" s="11">
        <v>190</v>
      </c>
      <c r="D9" s="11">
        <v>380</v>
      </c>
      <c r="E9" s="11">
        <v>950</v>
      </c>
      <c r="F9" s="11">
        <v>1900</v>
      </c>
    </row>
    <row r="10" spans="1:6">
      <c r="A10" s="1">
        <v>8</v>
      </c>
      <c r="B10" s="1" t="s">
        <v>369</v>
      </c>
      <c r="C10" s="11">
        <v>60</v>
      </c>
      <c r="D10" s="11">
        <v>120</v>
      </c>
      <c r="E10" s="11">
        <v>300</v>
      </c>
      <c r="F10" s="11">
        <v>600</v>
      </c>
    </row>
    <row r="11" spans="1:6">
      <c r="A11" s="1">
        <v>9</v>
      </c>
      <c r="B11" s="1" t="s">
        <v>370</v>
      </c>
      <c r="C11" s="11">
        <v>400</v>
      </c>
      <c r="D11" s="11">
        <v>800</v>
      </c>
      <c r="E11" s="11">
        <v>2000</v>
      </c>
      <c r="F11" s="11">
        <v>4000</v>
      </c>
    </row>
    <row r="12" spans="1:6">
      <c r="A12" s="1">
        <v>10</v>
      </c>
      <c r="B12" s="1" t="s">
        <v>371</v>
      </c>
      <c r="C12" s="11">
        <v>30</v>
      </c>
      <c r="D12" s="11">
        <v>60</v>
      </c>
      <c r="E12" s="11">
        <v>150</v>
      </c>
      <c r="F12" s="11">
        <v>300</v>
      </c>
    </row>
    <row r="15" spans="1:6" ht="15.75">
      <c r="A15" s="69" t="s">
        <v>375</v>
      </c>
      <c r="B15" s="69"/>
      <c r="C15" s="69"/>
    </row>
    <row r="16" spans="1:6" ht="15.75">
      <c r="A16" s="68" t="s">
        <v>376</v>
      </c>
      <c r="B16" s="68"/>
      <c r="C16" s="1">
        <f>MATCH("rice",B3:B12,0)</f>
        <v>4</v>
      </c>
    </row>
    <row r="17" spans="1:3" ht="15.75">
      <c r="A17" s="68" t="s">
        <v>377</v>
      </c>
      <c r="B17" s="68"/>
      <c r="C17" s="1">
        <f>MATCH("10kg",D2:F2,0)</f>
        <v>3</v>
      </c>
    </row>
  </sheetData>
  <mergeCells count="4">
    <mergeCell ref="A1:F1"/>
    <mergeCell ref="A15:C15"/>
    <mergeCell ref="A16:B16"/>
    <mergeCell ref="A17:B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6438-EC0C-45AF-9872-977CBE157914}">
  <dimension ref="A1:F25"/>
  <sheetViews>
    <sheetView workbookViewId="0">
      <selection activeCell="E17" sqref="E17"/>
    </sheetView>
  </sheetViews>
  <sheetFormatPr defaultRowHeight="15"/>
  <cols>
    <col min="1" max="1" width="12.85546875" customWidth="1"/>
    <col min="2" max="2" width="16.42578125" customWidth="1"/>
    <col min="3" max="3" width="15" customWidth="1"/>
    <col min="4" max="4" width="13.7109375" customWidth="1"/>
    <col min="5" max="5" width="14.7109375" customWidth="1"/>
    <col min="6" max="6" width="15" customWidth="1"/>
  </cols>
  <sheetData>
    <row r="1" spans="1:6" ht="24">
      <c r="A1" s="91" t="s">
        <v>378</v>
      </c>
      <c r="B1" s="91"/>
      <c r="C1" s="91"/>
      <c r="D1" s="91"/>
      <c r="E1" s="91"/>
      <c r="F1" s="91"/>
    </row>
    <row r="3" spans="1:6" ht="15.75">
      <c r="A3" s="51" t="s">
        <v>357</v>
      </c>
      <c r="B3" s="51" t="s">
        <v>332</v>
      </c>
      <c r="C3" s="51" t="s">
        <v>358</v>
      </c>
      <c r="D3" s="51" t="s">
        <v>359</v>
      </c>
      <c r="E3" s="51" t="s">
        <v>360</v>
      </c>
      <c r="F3" s="51" t="s">
        <v>361</v>
      </c>
    </row>
    <row r="4" spans="1:6">
      <c r="A4" s="1">
        <v>1</v>
      </c>
      <c r="B4" s="1" t="s">
        <v>362</v>
      </c>
      <c r="C4" s="11">
        <v>22</v>
      </c>
      <c r="D4" s="11">
        <v>44</v>
      </c>
      <c r="E4" s="11">
        <v>110</v>
      </c>
      <c r="F4" s="11">
        <v>220</v>
      </c>
    </row>
    <row r="5" spans="1:6">
      <c r="A5" s="1">
        <v>2</v>
      </c>
      <c r="B5" s="1" t="s">
        <v>363</v>
      </c>
      <c r="C5" s="11">
        <v>122</v>
      </c>
      <c r="D5" s="11">
        <v>244</v>
      </c>
      <c r="E5" s="11">
        <v>610</v>
      </c>
      <c r="F5" s="11">
        <v>1220</v>
      </c>
    </row>
    <row r="6" spans="1:6">
      <c r="A6" s="1">
        <v>3</v>
      </c>
      <c r="B6" s="1" t="s">
        <v>364</v>
      </c>
      <c r="C6" s="11">
        <v>50</v>
      </c>
      <c r="D6" s="11">
        <v>100</v>
      </c>
      <c r="E6" s="11">
        <v>250</v>
      </c>
      <c r="F6" s="11">
        <v>500</v>
      </c>
    </row>
    <row r="7" spans="1:6">
      <c r="A7" s="1">
        <v>4</v>
      </c>
      <c r="B7" s="1" t="s">
        <v>365</v>
      </c>
      <c r="C7" s="11">
        <v>68</v>
      </c>
      <c r="D7" s="11">
        <v>136</v>
      </c>
      <c r="E7" s="11">
        <v>340</v>
      </c>
      <c r="F7" s="11">
        <v>680</v>
      </c>
    </row>
    <row r="8" spans="1:6">
      <c r="A8" s="1">
        <v>5</v>
      </c>
      <c r="B8" s="1" t="s">
        <v>366</v>
      </c>
      <c r="C8" s="11">
        <v>18</v>
      </c>
      <c r="D8" s="11">
        <v>36</v>
      </c>
      <c r="E8" s="11">
        <v>90</v>
      </c>
      <c r="F8" s="11">
        <v>180</v>
      </c>
    </row>
    <row r="9" spans="1:6">
      <c r="A9" s="1">
        <v>6</v>
      </c>
      <c r="B9" s="1" t="s">
        <v>367</v>
      </c>
      <c r="C9" s="11">
        <v>42</v>
      </c>
      <c r="D9" s="11">
        <v>84</v>
      </c>
      <c r="E9" s="11">
        <v>210</v>
      </c>
      <c r="F9" s="11">
        <v>420</v>
      </c>
    </row>
    <row r="10" spans="1:6">
      <c r="A10" s="1">
        <v>7</v>
      </c>
      <c r="B10" s="1" t="s">
        <v>368</v>
      </c>
      <c r="C10" s="11">
        <v>190</v>
      </c>
      <c r="D10" s="11">
        <v>380</v>
      </c>
      <c r="E10" s="11">
        <v>950</v>
      </c>
      <c r="F10" s="11">
        <v>1900</v>
      </c>
    </row>
    <row r="11" spans="1:6">
      <c r="A11" s="1">
        <v>8</v>
      </c>
      <c r="B11" s="1" t="s">
        <v>369</v>
      </c>
      <c r="C11" s="11">
        <v>60</v>
      </c>
      <c r="D11" s="11">
        <v>120</v>
      </c>
      <c r="E11" s="11">
        <v>300</v>
      </c>
      <c r="F11" s="11">
        <v>600</v>
      </c>
    </row>
    <row r="12" spans="1:6">
      <c r="A12" s="1">
        <v>9</v>
      </c>
      <c r="B12" s="1" t="s">
        <v>370</v>
      </c>
      <c r="C12" s="11">
        <v>400</v>
      </c>
      <c r="D12" s="11">
        <v>800</v>
      </c>
      <c r="E12" s="11">
        <v>2000</v>
      </c>
      <c r="F12" s="11">
        <v>4000</v>
      </c>
    </row>
    <row r="13" spans="1:6">
      <c r="A13" s="1">
        <v>10</v>
      </c>
      <c r="B13" s="1" t="s">
        <v>371</v>
      </c>
      <c r="C13" s="11">
        <v>30</v>
      </c>
      <c r="D13" s="11">
        <v>60</v>
      </c>
      <c r="E13" s="11">
        <v>150</v>
      </c>
      <c r="F13" s="11">
        <v>300</v>
      </c>
    </row>
    <row r="16" spans="1:6" ht="15.75">
      <c r="A16" s="69" t="s">
        <v>378</v>
      </c>
      <c r="B16" s="69"/>
      <c r="C16" s="69"/>
    </row>
    <row r="17" spans="1:3" ht="15.75">
      <c r="A17" s="68" t="s">
        <v>156</v>
      </c>
      <c r="B17" s="68"/>
      <c r="C17" s="1" t="s">
        <v>365</v>
      </c>
    </row>
    <row r="18" spans="1:3" ht="15.75">
      <c r="A18" s="68" t="s">
        <v>379</v>
      </c>
      <c r="B18" s="68"/>
      <c r="C18" s="1" t="s">
        <v>361</v>
      </c>
    </row>
    <row r="19" spans="1:3">
      <c r="A19" s="80" t="s">
        <v>380</v>
      </c>
      <c r="B19" s="82"/>
      <c r="C19" s="1">
        <f>INDEX(D4:F13,MATCH(C17,B4:B13,0),MATCH(C18,D3:F3,0))</f>
        <v>680</v>
      </c>
    </row>
    <row r="22" spans="1:3" ht="15.75">
      <c r="A22" s="69" t="s">
        <v>381</v>
      </c>
      <c r="B22" s="69"/>
      <c r="C22" s="69"/>
    </row>
    <row r="23" spans="1:3" ht="15.75">
      <c r="A23" s="68" t="s">
        <v>382</v>
      </c>
      <c r="B23" s="68"/>
      <c r="C23" s="1">
        <f>INDEX(D4:F13,MATCH(B4,B4:B13,0),MATCH(E3,D3:F3,0))</f>
        <v>110</v>
      </c>
    </row>
    <row r="24" spans="1:3" ht="15.75">
      <c r="A24" s="68" t="s">
        <v>383</v>
      </c>
      <c r="B24" s="68"/>
      <c r="C24" s="1">
        <f>INDEX(D4:F13,MATCH(B12,B4:B13,0),MATCH(D3,D3:F3,0))</f>
        <v>800</v>
      </c>
    </row>
    <row r="25" spans="1:3">
      <c r="A25" s="80" t="s">
        <v>384</v>
      </c>
      <c r="B25" s="82"/>
      <c r="C25" s="1">
        <f>INDEX(D4:F13,MATCH(B10,B4:B13,0),MATCH(F3,D3:F3,0))</f>
        <v>1900</v>
      </c>
    </row>
  </sheetData>
  <mergeCells count="9">
    <mergeCell ref="A24:B24"/>
    <mergeCell ref="A25:B25"/>
    <mergeCell ref="A1:F1"/>
    <mergeCell ref="A16:C16"/>
    <mergeCell ref="A17:B17"/>
    <mergeCell ref="A18:B18"/>
    <mergeCell ref="A19:B19"/>
    <mergeCell ref="A22:C22"/>
    <mergeCell ref="A23:B2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A276-167C-41C7-B7F8-81DA62DC3FB6}">
  <dimension ref="A1:K36"/>
  <sheetViews>
    <sheetView workbookViewId="0">
      <selection activeCell="M1" sqref="M1"/>
    </sheetView>
  </sheetViews>
  <sheetFormatPr defaultRowHeight="15"/>
  <cols>
    <col min="1" max="1" width="20.85546875" bestFit="1" customWidth="1"/>
    <col min="2" max="2" width="18.85546875" bestFit="1" customWidth="1"/>
    <col min="3" max="3" width="9.140625" bestFit="1" customWidth="1"/>
    <col min="4" max="4" width="8" bestFit="1" customWidth="1"/>
    <col min="5" max="5" width="7" bestFit="1" customWidth="1"/>
    <col min="6" max="6" width="20.28515625" bestFit="1" customWidth="1"/>
    <col min="7" max="8" width="9.140625" bestFit="1" customWidth="1"/>
    <col min="9" max="9" width="7.5703125" bestFit="1" customWidth="1"/>
    <col min="10" max="10" width="21.7109375" bestFit="1" customWidth="1"/>
    <col min="11" max="11" width="25.28515625" bestFit="1" customWidth="1"/>
    <col min="12" max="12" width="21.7109375" bestFit="1" customWidth="1"/>
    <col min="13" max="13" width="25.28515625" bestFit="1" customWidth="1"/>
  </cols>
  <sheetData>
    <row r="1" spans="1:11" ht="31.5">
      <c r="A1" s="116" t="s">
        <v>422</v>
      </c>
      <c r="B1" s="116"/>
      <c r="C1" s="116"/>
      <c r="D1" s="116"/>
      <c r="E1" s="116"/>
      <c r="F1" s="116"/>
      <c r="G1" s="116"/>
      <c r="H1" s="116"/>
      <c r="I1" s="116"/>
      <c r="J1" s="116"/>
      <c r="K1" s="116"/>
    </row>
    <row r="4" spans="1:11">
      <c r="A4" s="1"/>
      <c r="B4" s="1" t="s">
        <v>398</v>
      </c>
      <c r="C4" s="1"/>
      <c r="D4" s="1"/>
      <c r="E4" s="1"/>
      <c r="F4" s="1" t="s">
        <v>397</v>
      </c>
      <c r="G4" s="1"/>
      <c r="H4" s="1"/>
      <c r="I4" s="1"/>
      <c r="J4" s="1" t="s">
        <v>399</v>
      </c>
      <c r="K4" s="1" t="s">
        <v>400</v>
      </c>
    </row>
    <row r="5" spans="1:11">
      <c r="A5" s="1"/>
      <c r="B5" s="1" t="s">
        <v>393</v>
      </c>
      <c r="C5" s="1" t="s">
        <v>162</v>
      </c>
      <c r="D5" s="1" t="s">
        <v>344</v>
      </c>
      <c r="E5" s="1" t="s">
        <v>342</v>
      </c>
      <c r="F5" s="1" t="s">
        <v>393</v>
      </c>
      <c r="G5" s="1" t="s">
        <v>162</v>
      </c>
      <c r="H5" s="1" t="s">
        <v>344</v>
      </c>
      <c r="I5" s="1" t="s">
        <v>342</v>
      </c>
      <c r="J5" s="1"/>
      <c r="K5" s="1"/>
    </row>
    <row r="6" spans="1:11">
      <c r="A6" s="58">
        <v>46027</v>
      </c>
      <c r="B6" s="59"/>
      <c r="C6" s="59">
        <v>45000</v>
      </c>
      <c r="D6" s="59"/>
      <c r="E6" s="59"/>
      <c r="F6" s="59"/>
      <c r="G6" s="59">
        <v>135000</v>
      </c>
      <c r="H6" s="59"/>
      <c r="I6" s="59"/>
      <c r="J6" s="59">
        <v>45000</v>
      </c>
      <c r="K6" s="59">
        <v>135000</v>
      </c>
    </row>
    <row r="7" spans="1:11">
      <c r="A7" s="60" t="s">
        <v>297</v>
      </c>
      <c r="B7" s="59"/>
      <c r="C7" s="59">
        <v>45000</v>
      </c>
      <c r="D7" s="59"/>
      <c r="E7" s="59"/>
      <c r="F7" s="59"/>
      <c r="G7" s="59">
        <v>135000</v>
      </c>
      <c r="H7" s="59"/>
      <c r="I7" s="59"/>
      <c r="J7" s="59">
        <v>45000</v>
      </c>
      <c r="K7" s="59">
        <v>135000</v>
      </c>
    </row>
    <row r="8" spans="1:11">
      <c r="A8" s="58">
        <v>46030</v>
      </c>
      <c r="B8" s="59"/>
      <c r="C8" s="59"/>
      <c r="D8" s="59">
        <v>12000</v>
      </c>
      <c r="E8" s="59"/>
      <c r="F8" s="59"/>
      <c r="G8" s="59"/>
      <c r="H8" s="59">
        <v>60000</v>
      </c>
      <c r="I8" s="59"/>
      <c r="J8" s="59">
        <v>12000</v>
      </c>
      <c r="K8" s="59">
        <v>60000</v>
      </c>
    </row>
    <row r="9" spans="1:11">
      <c r="A9" s="60" t="s">
        <v>92</v>
      </c>
      <c r="B9" s="59"/>
      <c r="C9" s="59"/>
      <c r="D9" s="59">
        <v>12000</v>
      </c>
      <c r="E9" s="59"/>
      <c r="F9" s="59"/>
      <c r="G9" s="59"/>
      <c r="H9" s="59">
        <v>60000</v>
      </c>
      <c r="I9" s="59"/>
      <c r="J9" s="59">
        <v>12000</v>
      </c>
      <c r="K9" s="59">
        <v>60000</v>
      </c>
    </row>
    <row r="10" spans="1:11">
      <c r="A10" s="58">
        <v>46034</v>
      </c>
      <c r="B10" s="59">
        <v>1500</v>
      </c>
      <c r="C10" s="59"/>
      <c r="D10" s="59"/>
      <c r="E10" s="59"/>
      <c r="F10" s="59">
        <v>15000</v>
      </c>
      <c r="G10" s="59"/>
      <c r="H10" s="59"/>
      <c r="I10" s="59"/>
      <c r="J10" s="59">
        <v>1500</v>
      </c>
      <c r="K10" s="59">
        <v>15000</v>
      </c>
    </row>
    <row r="11" spans="1:11">
      <c r="A11" s="60" t="s">
        <v>297</v>
      </c>
      <c r="B11" s="59">
        <v>1500</v>
      </c>
      <c r="C11" s="59"/>
      <c r="D11" s="59"/>
      <c r="E11" s="59"/>
      <c r="F11" s="59">
        <v>15000</v>
      </c>
      <c r="G11" s="59"/>
      <c r="H11" s="59"/>
      <c r="I11" s="59"/>
      <c r="J11" s="59">
        <v>1500</v>
      </c>
      <c r="K11" s="59">
        <v>15000</v>
      </c>
    </row>
    <row r="12" spans="1:11">
      <c r="A12" s="58">
        <v>46037</v>
      </c>
      <c r="B12" s="59"/>
      <c r="C12" s="59">
        <v>45000</v>
      </c>
      <c r="D12" s="59"/>
      <c r="E12" s="59"/>
      <c r="F12" s="59"/>
      <c r="G12" s="59">
        <v>90000</v>
      </c>
      <c r="H12" s="59"/>
      <c r="I12" s="59"/>
      <c r="J12" s="59">
        <v>45000</v>
      </c>
      <c r="K12" s="59">
        <v>90000</v>
      </c>
    </row>
    <row r="13" spans="1:11">
      <c r="A13" s="60" t="s">
        <v>395</v>
      </c>
      <c r="B13" s="59"/>
      <c r="C13" s="59">
        <v>45000</v>
      </c>
      <c r="D13" s="59"/>
      <c r="E13" s="59"/>
      <c r="F13" s="59"/>
      <c r="G13" s="59">
        <v>90000</v>
      </c>
      <c r="H13" s="59"/>
      <c r="I13" s="59"/>
      <c r="J13" s="59">
        <v>45000</v>
      </c>
      <c r="K13" s="59">
        <v>90000</v>
      </c>
    </row>
    <row r="14" spans="1:11">
      <c r="A14" s="58">
        <v>46042</v>
      </c>
      <c r="B14" s="59"/>
      <c r="C14" s="59"/>
      <c r="D14" s="59"/>
      <c r="E14" s="59">
        <v>800</v>
      </c>
      <c r="F14" s="59"/>
      <c r="G14" s="59"/>
      <c r="H14" s="59"/>
      <c r="I14" s="59">
        <v>12000</v>
      </c>
      <c r="J14" s="59">
        <v>800</v>
      </c>
      <c r="K14" s="59">
        <v>12000</v>
      </c>
    </row>
    <row r="15" spans="1:11">
      <c r="A15" s="60" t="s">
        <v>92</v>
      </c>
      <c r="B15" s="59"/>
      <c r="C15" s="59"/>
      <c r="D15" s="59"/>
      <c r="E15" s="59">
        <v>800</v>
      </c>
      <c r="F15" s="59"/>
      <c r="G15" s="59"/>
      <c r="H15" s="59"/>
      <c r="I15" s="59">
        <v>12000</v>
      </c>
      <c r="J15" s="59">
        <v>800</v>
      </c>
      <c r="K15" s="59">
        <v>12000</v>
      </c>
    </row>
    <row r="16" spans="1:11">
      <c r="A16" s="58">
        <v>46056</v>
      </c>
      <c r="B16" s="59"/>
      <c r="C16" s="59"/>
      <c r="D16" s="59">
        <v>12000</v>
      </c>
      <c r="E16" s="59"/>
      <c r="F16" s="59"/>
      <c r="G16" s="59"/>
      <c r="H16" s="59">
        <v>48000</v>
      </c>
      <c r="I16" s="59"/>
      <c r="J16" s="59">
        <v>12000</v>
      </c>
      <c r="K16" s="59">
        <v>48000</v>
      </c>
    </row>
    <row r="17" spans="1:11">
      <c r="A17" s="60" t="s">
        <v>297</v>
      </c>
      <c r="B17" s="59"/>
      <c r="C17" s="59"/>
      <c r="D17" s="59">
        <v>12000</v>
      </c>
      <c r="E17" s="59"/>
      <c r="F17" s="59"/>
      <c r="G17" s="59"/>
      <c r="H17" s="59">
        <v>48000</v>
      </c>
      <c r="I17" s="59"/>
      <c r="J17" s="59">
        <v>12000</v>
      </c>
      <c r="K17" s="59">
        <v>48000</v>
      </c>
    </row>
    <row r="18" spans="1:11">
      <c r="A18" s="58">
        <v>46060</v>
      </c>
      <c r="B18" s="59"/>
      <c r="C18" s="59">
        <v>45000</v>
      </c>
      <c r="D18" s="59"/>
      <c r="E18" s="59"/>
      <c r="F18" s="59"/>
      <c r="G18" s="59">
        <v>90000</v>
      </c>
      <c r="H18" s="59"/>
      <c r="I18" s="59"/>
      <c r="J18" s="59">
        <v>45000</v>
      </c>
      <c r="K18" s="59">
        <v>90000</v>
      </c>
    </row>
    <row r="19" spans="1:11">
      <c r="A19" s="60" t="s">
        <v>92</v>
      </c>
      <c r="B19" s="59"/>
      <c r="C19" s="59">
        <v>45000</v>
      </c>
      <c r="D19" s="59"/>
      <c r="E19" s="59"/>
      <c r="F19" s="59"/>
      <c r="G19" s="59">
        <v>90000</v>
      </c>
      <c r="H19" s="59"/>
      <c r="I19" s="59"/>
      <c r="J19" s="59">
        <v>45000</v>
      </c>
      <c r="K19" s="59">
        <v>90000</v>
      </c>
    </row>
    <row r="20" spans="1:11">
      <c r="A20" s="58">
        <v>46064</v>
      </c>
      <c r="B20" s="59"/>
      <c r="C20" s="59"/>
      <c r="D20" s="59"/>
      <c r="E20" s="59">
        <v>800</v>
      </c>
      <c r="F20" s="59"/>
      <c r="G20" s="59"/>
      <c r="H20" s="59"/>
      <c r="I20" s="59">
        <v>16000</v>
      </c>
      <c r="J20" s="59">
        <v>800</v>
      </c>
      <c r="K20" s="59">
        <v>16000</v>
      </c>
    </row>
    <row r="21" spans="1:11">
      <c r="A21" s="60" t="s">
        <v>297</v>
      </c>
      <c r="B21" s="59"/>
      <c r="C21" s="59"/>
      <c r="D21" s="59"/>
      <c r="E21" s="59">
        <v>800</v>
      </c>
      <c r="F21" s="59"/>
      <c r="G21" s="59"/>
      <c r="H21" s="59"/>
      <c r="I21" s="59">
        <v>16000</v>
      </c>
      <c r="J21" s="59">
        <v>800</v>
      </c>
      <c r="K21" s="59">
        <v>16000</v>
      </c>
    </row>
    <row r="22" spans="1:11">
      <c r="A22" s="58">
        <v>46071</v>
      </c>
      <c r="B22" s="59">
        <v>1500</v>
      </c>
      <c r="C22" s="59"/>
      <c r="D22" s="59"/>
      <c r="E22" s="59"/>
      <c r="F22" s="59">
        <v>18000</v>
      </c>
      <c r="G22" s="59"/>
      <c r="H22" s="59"/>
      <c r="I22" s="59"/>
      <c r="J22" s="59">
        <v>1500</v>
      </c>
      <c r="K22" s="59">
        <v>18000</v>
      </c>
    </row>
    <row r="23" spans="1:11">
      <c r="A23" s="60" t="s">
        <v>395</v>
      </c>
      <c r="B23" s="59">
        <v>1500</v>
      </c>
      <c r="C23" s="59"/>
      <c r="D23" s="59"/>
      <c r="E23" s="59"/>
      <c r="F23" s="59">
        <v>18000</v>
      </c>
      <c r="G23" s="59"/>
      <c r="H23" s="59"/>
      <c r="I23" s="59"/>
      <c r="J23" s="59">
        <v>1500</v>
      </c>
      <c r="K23" s="59">
        <v>18000</v>
      </c>
    </row>
    <row r="24" spans="1:11">
      <c r="A24" s="58">
        <v>46077</v>
      </c>
      <c r="B24" s="59"/>
      <c r="C24" s="59"/>
      <c r="D24" s="59">
        <v>12000</v>
      </c>
      <c r="E24" s="59"/>
      <c r="F24" s="59"/>
      <c r="G24" s="59"/>
      <c r="H24" s="59">
        <v>72000</v>
      </c>
      <c r="I24" s="59"/>
      <c r="J24" s="59">
        <v>12000</v>
      </c>
      <c r="K24" s="59">
        <v>72000</v>
      </c>
    </row>
    <row r="25" spans="1:11">
      <c r="A25" s="60" t="s">
        <v>92</v>
      </c>
      <c r="B25" s="59"/>
      <c r="C25" s="59"/>
      <c r="D25" s="59">
        <v>12000</v>
      </c>
      <c r="E25" s="59"/>
      <c r="F25" s="59"/>
      <c r="G25" s="59"/>
      <c r="H25" s="59">
        <v>72000</v>
      </c>
      <c r="I25" s="59"/>
      <c r="J25" s="59">
        <v>12000</v>
      </c>
      <c r="K25" s="59">
        <v>72000</v>
      </c>
    </row>
    <row r="26" spans="1:11">
      <c r="A26" s="58">
        <v>46085</v>
      </c>
      <c r="B26" s="59"/>
      <c r="C26" s="59">
        <v>45000</v>
      </c>
      <c r="D26" s="59"/>
      <c r="E26" s="59"/>
      <c r="F26" s="59"/>
      <c r="G26" s="59">
        <v>45000</v>
      </c>
      <c r="H26" s="59"/>
      <c r="I26" s="59"/>
      <c r="J26" s="59">
        <v>45000</v>
      </c>
      <c r="K26" s="59">
        <v>45000</v>
      </c>
    </row>
    <row r="27" spans="1:11">
      <c r="A27" s="60" t="s">
        <v>297</v>
      </c>
      <c r="B27" s="59"/>
      <c r="C27" s="59">
        <v>45000</v>
      </c>
      <c r="D27" s="59"/>
      <c r="E27" s="59"/>
      <c r="F27" s="59"/>
      <c r="G27" s="59">
        <v>45000</v>
      </c>
      <c r="H27" s="59"/>
      <c r="I27" s="59"/>
      <c r="J27" s="59">
        <v>45000</v>
      </c>
      <c r="K27" s="59">
        <v>45000</v>
      </c>
    </row>
    <row r="28" spans="1:11">
      <c r="A28" s="58">
        <v>46090</v>
      </c>
      <c r="B28" s="59"/>
      <c r="C28" s="59"/>
      <c r="D28" s="59"/>
      <c r="E28" s="59">
        <v>800</v>
      </c>
      <c r="F28" s="59"/>
      <c r="G28" s="59"/>
      <c r="H28" s="59"/>
      <c r="I28" s="59">
        <v>20000</v>
      </c>
      <c r="J28" s="59">
        <v>800</v>
      </c>
      <c r="K28" s="59">
        <v>20000</v>
      </c>
    </row>
    <row r="29" spans="1:11">
      <c r="A29" s="60" t="s">
        <v>92</v>
      </c>
      <c r="B29" s="59"/>
      <c r="C29" s="59"/>
      <c r="D29" s="59"/>
      <c r="E29" s="59">
        <v>800</v>
      </c>
      <c r="F29" s="59"/>
      <c r="G29" s="59"/>
      <c r="H29" s="59"/>
      <c r="I29" s="59">
        <v>20000</v>
      </c>
      <c r="J29" s="59">
        <v>800</v>
      </c>
      <c r="K29" s="59">
        <v>20000</v>
      </c>
    </row>
    <row r="30" spans="1:11">
      <c r="A30" s="58">
        <v>46094</v>
      </c>
      <c r="B30" s="59"/>
      <c r="C30" s="59"/>
      <c r="D30" s="59">
        <v>12000</v>
      </c>
      <c r="E30" s="59"/>
      <c r="F30" s="59"/>
      <c r="G30" s="59"/>
      <c r="H30" s="59">
        <v>36000</v>
      </c>
      <c r="I30" s="59"/>
      <c r="J30" s="59">
        <v>12000</v>
      </c>
      <c r="K30" s="59">
        <v>36000</v>
      </c>
    </row>
    <row r="31" spans="1:11">
      <c r="A31" s="60" t="s">
        <v>297</v>
      </c>
      <c r="B31" s="59"/>
      <c r="C31" s="59"/>
      <c r="D31" s="59">
        <v>12000</v>
      </c>
      <c r="E31" s="59"/>
      <c r="F31" s="59"/>
      <c r="G31" s="59"/>
      <c r="H31" s="59">
        <v>36000</v>
      </c>
      <c r="I31" s="59"/>
      <c r="J31" s="59">
        <v>12000</v>
      </c>
      <c r="K31" s="59">
        <v>36000</v>
      </c>
    </row>
    <row r="32" spans="1:11">
      <c r="A32" s="58">
        <v>46098</v>
      </c>
      <c r="B32" s="59"/>
      <c r="C32" s="59">
        <v>45000</v>
      </c>
      <c r="D32" s="59"/>
      <c r="E32" s="59"/>
      <c r="F32" s="59"/>
      <c r="G32" s="59">
        <v>135000</v>
      </c>
      <c r="H32" s="59"/>
      <c r="I32" s="59"/>
      <c r="J32" s="59">
        <v>45000</v>
      </c>
      <c r="K32" s="59">
        <v>135000</v>
      </c>
    </row>
    <row r="33" spans="1:11">
      <c r="A33" s="60" t="s">
        <v>395</v>
      </c>
      <c r="B33" s="59"/>
      <c r="C33" s="59">
        <v>45000</v>
      </c>
      <c r="D33" s="59"/>
      <c r="E33" s="59"/>
      <c r="F33" s="59"/>
      <c r="G33" s="59">
        <v>135000</v>
      </c>
      <c r="H33" s="59"/>
      <c r="I33" s="59"/>
      <c r="J33" s="59">
        <v>45000</v>
      </c>
      <c r="K33" s="59">
        <v>135000</v>
      </c>
    </row>
    <row r="34" spans="1:11">
      <c r="A34" s="58">
        <v>46103</v>
      </c>
      <c r="B34" s="59">
        <v>1500</v>
      </c>
      <c r="C34" s="59"/>
      <c r="D34" s="59"/>
      <c r="E34" s="59"/>
      <c r="F34" s="59">
        <v>22500</v>
      </c>
      <c r="G34" s="59"/>
      <c r="H34" s="59"/>
      <c r="I34" s="59"/>
      <c r="J34" s="59">
        <v>1500</v>
      </c>
      <c r="K34" s="59">
        <v>22500</v>
      </c>
    </row>
    <row r="35" spans="1:11">
      <c r="A35" s="60" t="s">
        <v>92</v>
      </c>
      <c r="B35" s="59">
        <v>1500</v>
      </c>
      <c r="C35" s="59"/>
      <c r="D35" s="59"/>
      <c r="E35" s="59"/>
      <c r="F35" s="59">
        <v>22500</v>
      </c>
      <c r="G35" s="59"/>
      <c r="H35" s="59"/>
      <c r="I35" s="59"/>
      <c r="J35" s="59">
        <v>1500</v>
      </c>
      <c r="K35" s="59">
        <v>22500</v>
      </c>
    </row>
    <row r="36" spans="1:11">
      <c r="A36" s="58" t="s">
        <v>396</v>
      </c>
      <c r="B36" s="59">
        <v>4500</v>
      </c>
      <c r="C36" s="59">
        <v>225000</v>
      </c>
      <c r="D36" s="59">
        <v>48000</v>
      </c>
      <c r="E36" s="59">
        <v>2400</v>
      </c>
      <c r="F36" s="59">
        <v>55500</v>
      </c>
      <c r="G36" s="59">
        <v>495000</v>
      </c>
      <c r="H36" s="59">
        <v>216000</v>
      </c>
      <c r="I36" s="59">
        <v>48000</v>
      </c>
      <c r="J36" s="59">
        <v>279900</v>
      </c>
      <c r="K36" s="59">
        <v>814500</v>
      </c>
    </row>
  </sheetData>
  <mergeCells count="1">
    <mergeCell ref="A1:K1"/>
  </mergeCell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573F-6F53-41CD-A494-2F7ADAB48772}">
  <dimension ref="A1:H17"/>
  <sheetViews>
    <sheetView workbookViewId="0">
      <selection activeCell="D23" sqref="D23"/>
    </sheetView>
  </sheetViews>
  <sheetFormatPr defaultRowHeight="15"/>
  <cols>
    <col min="1" max="1" width="17.7109375" style="52" customWidth="1"/>
    <col min="2" max="2" width="21.5703125" style="52" customWidth="1"/>
    <col min="3" max="3" width="23.28515625" style="52" customWidth="1"/>
    <col min="4" max="4" width="20.140625" style="52" customWidth="1"/>
    <col min="5" max="5" width="17.5703125" style="52" customWidth="1"/>
    <col min="6" max="6" width="18.140625" style="52" customWidth="1"/>
    <col min="7" max="7" width="17.7109375" style="52" customWidth="1"/>
    <col min="8" max="8" width="20.85546875" style="52" customWidth="1"/>
    <col min="9" max="16384" width="9.140625" style="52"/>
  </cols>
  <sheetData>
    <row r="1" spans="1:8" customFormat="1" ht="24">
      <c r="A1" s="91" t="s">
        <v>401</v>
      </c>
      <c r="B1" s="91"/>
      <c r="C1" s="91"/>
      <c r="D1" s="91"/>
      <c r="E1" s="91"/>
      <c r="F1" s="91"/>
      <c r="G1" s="91"/>
      <c r="H1" s="91"/>
    </row>
    <row r="2" spans="1:8" customFormat="1">
      <c r="A2" s="53" t="s">
        <v>154</v>
      </c>
      <c r="B2" s="53" t="s">
        <v>387</v>
      </c>
      <c r="C2" s="53" t="s">
        <v>224</v>
      </c>
      <c r="D2" s="53" t="s">
        <v>290</v>
      </c>
      <c r="E2" s="53" t="s">
        <v>156</v>
      </c>
      <c r="F2" s="53" t="s">
        <v>388</v>
      </c>
      <c r="G2" s="53" t="s">
        <v>389</v>
      </c>
      <c r="H2" s="53" t="s">
        <v>390</v>
      </c>
    </row>
    <row r="3" spans="1:8" customFormat="1">
      <c r="A3" s="54">
        <v>46027</v>
      </c>
      <c r="B3" s="55" t="s">
        <v>391</v>
      </c>
      <c r="C3" s="55" t="s">
        <v>297</v>
      </c>
      <c r="D3" s="55" t="s">
        <v>202</v>
      </c>
      <c r="E3" s="55" t="s">
        <v>162</v>
      </c>
      <c r="F3" s="55">
        <v>3</v>
      </c>
      <c r="G3" s="56">
        <v>45000</v>
      </c>
      <c r="H3" s="56">
        <v>135000</v>
      </c>
    </row>
    <row r="4" spans="1:8" customFormat="1">
      <c r="A4" s="54">
        <v>46030</v>
      </c>
      <c r="B4" s="55" t="s">
        <v>392</v>
      </c>
      <c r="C4" s="55" t="s">
        <v>92</v>
      </c>
      <c r="D4" s="55" t="s">
        <v>198</v>
      </c>
      <c r="E4" s="55" t="s">
        <v>344</v>
      </c>
      <c r="F4" s="55">
        <v>5</v>
      </c>
      <c r="G4" s="56">
        <v>12000</v>
      </c>
      <c r="H4" s="56">
        <v>60000</v>
      </c>
    </row>
    <row r="5" spans="1:8" customFormat="1">
      <c r="A5" s="54">
        <v>46034</v>
      </c>
      <c r="B5" s="55" t="s">
        <v>0</v>
      </c>
      <c r="C5" s="55" t="s">
        <v>297</v>
      </c>
      <c r="D5" s="55" t="s">
        <v>202</v>
      </c>
      <c r="E5" s="55" t="s">
        <v>393</v>
      </c>
      <c r="F5" s="55">
        <v>10</v>
      </c>
      <c r="G5" s="56">
        <v>1500</v>
      </c>
      <c r="H5" s="56">
        <v>15000</v>
      </c>
    </row>
    <row r="6" spans="1:8" customFormat="1">
      <c r="A6" s="54">
        <v>46037</v>
      </c>
      <c r="B6" s="55" t="s">
        <v>394</v>
      </c>
      <c r="C6" s="55" t="s">
        <v>395</v>
      </c>
      <c r="D6" s="55" t="s">
        <v>201</v>
      </c>
      <c r="E6" s="55" t="s">
        <v>162</v>
      </c>
      <c r="F6" s="55">
        <v>2</v>
      </c>
      <c r="G6" s="56">
        <v>45000</v>
      </c>
      <c r="H6" s="56">
        <v>90000</v>
      </c>
    </row>
    <row r="7" spans="1:8" customFormat="1">
      <c r="A7" s="54">
        <v>46042</v>
      </c>
      <c r="B7" s="55" t="s">
        <v>90</v>
      </c>
      <c r="C7" s="55" t="s">
        <v>92</v>
      </c>
      <c r="D7" s="55" t="s">
        <v>202</v>
      </c>
      <c r="E7" s="55" t="s">
        <v>342</v>
      </c>
      <c r="F7" s="55">
        <v>15</v>
      </c>
      <c r="G7" s="56">
        <v>800</v>
      </c>
      <c r="H7" s="56">
        <v>12000</v>
      </c>
    </row>
    <row r="8" spans="1:8" customFormat="1">
      <c r="A8" s="54">
        <v>46056</v>
      </c>
      <c r="B8" s="55" t="s">
        <v>391</v>
      </c>
      <c r="C8" s="55" t="s">
        <v>297</v>
      </c>
      <c r="D8" s="55" t="s">
        <v>198</v>
      </c>
      <c r="E8" s="55" t="s">
        <v>344</v>
      </c>
      <c r="F8" s="55">
        <v>4</v>
      </c>
      <c r="G8" s="56">
        <v>12000</v>
      </c>
      <c r="H8" s="56">
        <v>48000</v>
      </c>
    </row>
    <row r="9" spans="1:8" customFormat="1">
      <c r="A9" s="54">
        <v>46060</v>
      </c>
      <c r="B9" s="55" t="s">
        <v>392</v>
      </c>
      <c r="C9" s="55" t="s">
        <v>92</v>
      </c>
      <c r="D9" s="55" t="s">
        <v>202</v>
      </c>
      <c r="E9" s="55" t="s">
        <v>162</v>
      </c>
      <c r="F9" s="55">
        <v>2</v>
      </c>
      <c r="G9" s="56">
        <v>45000</v>
      </c>
      <c r="H9" s="56">
        <v>90000</v>
      </c>
    </row>
    <row r="10" spans="1:8" customFormat="1">
      <c r="A10" s="54">
        <v>46064</v>
      </c>
      <c r="B10" s="55" t="s">
        <v>0</v>
      </c>
      <c r="C10" s="55" t="s">
        <v>297</v>
      </c>
      <c r="D10" s="55" t="s">
        <v>201</v>
      </c>
      <c r="E10" s="55" t="s">
        <v>342</v>
      </c>
      <c r="F10" s="55">
        <v>20</v>
      </c>
      <c r="G10" s="56">
        <v>800</v>
      </c>
      <c r="H10" s="56">
        <v>16000</v>
      </c>
    </row>
    <row r="11" spans="1:8" customFormat="1">
      <c r="A11" s="54">
        <v>46071</v>
      </c>
      <c r="B11" s="55" t="s">
        <v>394</v>
      </c>
      <c r="C11" s="55" t="s">
        <v>395</v>
      </c>
      <c r="D11" s="55" t="s">
        <v>198</v>
      </c>
      <c r="E11" s="55" t="s">
        <v>393</v>
      </c>
      <c r="F11" s="55">
        <v>12</v>
      </c>
      <c r="G11" s="56">
        <v>1500</v>
      </c>
      <c r="H11" s="56">
        <v>18000</v>
      </c>
    </row>
    <row r="12" spans="1:8" customFormat="1">
      <c r="A12" s="54">
        <v>46077</v>
      </c>
      <c r="B12" s="55" t="s">
        <v>90</v>
      </c>
      <c r="C12" s="55" t="s">
        <v>92</v>
      </c>
      <c r="D12" s="55" t="s">
        <v>201</v>
      </c>
      <c r="E12" s="55" t="s">
        <v>344</v>
      </c>
      <c r="F12" s="55">
        <v>6</v>
      </c>
      <c r="G12" s="56">
        <v>12000</v>
      </c>
      <c r="H12" s="56">
        <v>72000</v>
      </c>
    </row>
    <row r="13" spans="1:8">
      <c r="A13" s="54">
        <v>46085</v>
      </c>
      <c r="B13" s="55" t="s">
        <v>391</v>
      </c>
      <c r="C13" s="55" t="s">
        <v>297</v>
      </c>
      <c r="D13" s="55" t="s">
        <v>202</v>
      </c>
      <c r="E13" s="55" t="s">
        <v>162</v>
      </c>
      <c r="F13" s="55">
        <v>1</v>
      </c>
      <c r="G13" s="56">
        <v>45000</v>
      </c>
      <c r="H13" s="56">
        <v>45000</v>
      </c>
    </row>
    <row r="14" spans="1:8">
      <c r="A14" s="54">
        <v>46090</v>
      </c>
      <c r="B14" s="55" t="s">
        <v>392</v>
      </c>
      <c r="C14" s="55" t="s">
        <v>92</v>
      </c>
      <c r="D14" s="55" t="s">
        <v>198</v>
      </c>
      <c r="E14" s="55" t="s">
        <v>342</v>
      </c>
      <c r="F14" s="55">
        <v>25</v>
      </c>
      <c r="G14" s="56">
        <v>800</v>
      </c>
      <c r="H14" s="56">
        <v>20000</v>
      </c>
    </row>
    <row r="15" spans="1:8">
      <c r="A15" s="54">
        <v>46094</v>
      </c>
      <c r="B15" s="55" t="s">
        <v>0</v>
      </c>
      <c r="C15" s="55" t="s">
        <v>297</v>
      </c>
      <c r="D15" s="55" t="s">
        <v>202</v>
      </c>
      <c r="E15" s="55" t="s">
        <v>344</v>
      </c>
      <c r="F15" s="55">
        <v>3</v>
      </c>
      <c r="G15" s="56">
        <v>12000</v>
      </c>
      <c r="H15" s="56">
        <v>36000</v>
      </c>
    </row>
    <row r="16" spans="1:8">
      <c r="A16" s="54">
        <v>46098</v>
      </c>
      <c r="B16" s="55" t="s">
        <v>394</v>
      </c>
      <c r="C16" s="55" t="s">
        <v>395</v>
      </c>
      <c r="D16" s="55" t="s">
        <v>201</v>
      </c>
      <c r="E16" s="55" t="s">
        <v>162</v>
      </c>
      <c r="F16" s="55">
        <v>3</v>
      </c>
      <c r="G16" s="56">
        <v>45000</v>
      </c>
      <c r="H16" s="56">
        <v>135000</v>
      </c>
    </row>
    <row r="17" spans="1:8">
      <c r="A17" s="54">
        <v>46103</v>
      </c>
      <c r="B17" s="55" t="s">
        <v>90</v>
      </c>
      <c r="C17" s="55" t="s">
        <v>92</v>
      </c>
      <c r="D17" s="55" t="s">
        <v>202</v>
      </c>
      <c r="E17" s="55" t="s">
        <v>393</v>
      </c>
      <c r="F17" s="55">
        <v>15</v>
      </c>
      <c r="G17" s="56">
        <v>1500</v>
      </c>
      <c r="H17" s="56">
        <v>22500</v>
      </c>
    </row>
  </sheetData>
  <autoFilter ref="A2:H17" xr:uid="{7990573F-6F53-41CD-A494-2F7ADAB48772}"/>
  <mergeCells count="1">
    <mergeCell ref="A1:H1"/>
  </mergeCells>
  <dataValidations count="1">
    <dataValidation type="list" allowBlank="1" showInputMessage="1" showErrorMessage="1" sqref="A1:H17" xr:uid="{04A46267-833C-45C8-94C3-2FAD03B17710}">
      <formula1>$D$3:$D$17</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76B9-1B6C-4FBA-913C-4B3AEAE05040}">
  <dimension ref="A1:I7"/>
  <sheetViews>
    <sheetView workbookViewId="0">
      <selection activeCell="H33" sqref="H33"/>
    </sheetView>
  </sheetViews>
  <sheetFormatPr defaultRowHeight="15"/>
  <cols>
    <col min="1" max="1" width="17" bestFit="1" customWidth="1"/>
    <col min="2" max="2" width="20.28515625" bestFit="1" customWidth="1"/>
  </cols>
  <sheetData>
    <row r="1" spans="1:9" ht="21">
      <c r="A1" s="95" t="s">
        <v>404</v>
      </c>
      <c r="B1" s="95"/>
      <c r="C1" s="95"/>
      <c r="D1" s="95"/>
      <c r="E1" s="95"/>
      <c r="F1" s="95"/>
      <c r="G1" s="95"/>
      <c r="H1" s="95"/>
      <c r="I1" s="95"/>
    </row>
    <row r="3" spans="1:9">
      <c r="A3" s="61" t="s">
        <v>402</v>
      </c>
      <c r="B3" t="s">
        <v>397</v>
      </c>
    </row>
    <row r="4" spans="1:9">
      <c r="A4" s="27" t="s">
        <v>297</v>
      </c>
      <c r="B4" s="57">
        <v>295000</v>
      </c>
    </row>
    <row r="5" spans="1:9">
      <c r="A5" s="27" t="s">
        <v>92</v>
      </c>
      <c r="B5" s="57">
        <v>276500</v>
      </c>
    </row>
    <row r="6" spans="1:9">
      <c r="A6" s="27" t="s">
        <v>395</v>
      </c>
      <c r="B6" s="57">
        <v>243000</v>
      </c>
    </row>
    <row r="7" spans="1:9">
      <c r="A7" s="27" t="s">
        <v>396</v>
      </c>
      <c r="B7" s="57">
        <v>814500</v>
      </c>
    </row>
  </sheetData>
  <mergeCells count="1">
    <mergeCell ref="A1:I1"/>
  </mergeCell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38AC-05B3-44B4-9499-A2276B361E17}">
  <dimension ref="A1:I8"/>
  <sheetViews>
    <sheetView workbookViewId="0">
      <selection activeCell="B13" sqref="B13"/>
    </sheetView>
  </sheetViews>
  <sheetFormatPr defaultRowHeight="15"/>
  <cols>
    <col min="1" max="1" width="13.42578125" bestFit="1" customWidth="1"/>
    <col min="2" max="2" width="20.28515625" bestFit="1" customWidth="1"/>
  </cols>
  <sheetData>
    <row r="1" spans="1:9" ht="24">
      <c r="A1" s="90" t="s">
        <v>405</v>
      </c>
      <c r="B1" s="90"/>
      <c r="C1" s="90"/>
      <c r="D1" s="90"/>
      <c r="E1" s="90"/>
      <c r="F1" s="90"/>
      <c r="G1" s="90"/>
      <c r="H1" s="90"/>
      <c r="I1" s="90"/>
    </row>
    <row r="3" spans="1:9">
      <c r="A3" s="61" t="s">
        <v>402</v>
      </c>
      <c r="B3" t="s">
        <v>397</v>
      </c>
    </row>
    <row r="4" spans="1:9">
      <c r="A4" s="27" t="s">
        <v>393</v>
      </c>
      <c r="B4" s="57">
        <v>55500</v>
      </c>
    </row>
    <row r="5" spans="1:9">
      <c r="A5" s="27" t="s">
        <v>162</v>
      </c>
      <c r="B5" s="57">
        <v>495000</v>
      </c>
    </row>
    <row r="6" spans="1:9">
      <c r="A6" s="27" t="s">
        <v>344</v>
      </c>
      <c r="B6" s="57">
        <v>216000</v>
      </c>
    </row>
    <row r="7" spans="1:9">
      <c r="A7" s="27" t="s">
        <v>342</v>
      </c>
      <c r="B7" s="57">
        <v>48000</v>
      </c>
    </row>
    <row r="8" spans="1:9">
      <c r="A8" s="27" t="s">
        <v>396</v>
      </c>
      <c r="B8" s="57">
        <v>814500</v>
      </c>
    </row>
  </sheetData>
  <mergeCells count="1">
    <mergeCell ref="A1:I1"/>
  </mergeCell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3D5F-717B-460F-A8B0-3F7D2237AA69}">
  <dimension ref="A1:I7"/>
  <sheetViews>
    <sheetView workbookViewId="0">
      <selection activeCell="B11" sqref="B11"/>
    </sheetView>
  </sheetViews>
  <sheetFormatPr defaultRowHeight="15"/>
  <cols>
    <col min="1" max="1" width="13.42578125" bestFit="1" customWidth="1"/>
    <col min="2" max="2" width="15.5703125" bestFit="1" customWidth="1"/>
  </cols>
  <sheetData>
    <row r="1" spans="1:9" ht="24">
      <c r="A1" s="90" t="s">
        <v>407</v>
      </c>
      <c r="B1" s="90"/>
      <c r="C1" s="90"/>
      <c r="D1" s="90"/>
      <c r="E1" s="90"/>
      <c r="F1" s="90"/>
      <c r="G1" s="90"/>
      <c r="H1" s="90"/>
      <c r="I1" s="90"/>
    </row>
    <row r="3" spans="1:9">
      <c r="A3" s="61" t="s">
        <v>402</v>
      </c>
      <c r="B3" t="s">
        <v>406</v>
      </c>
    </row>
    <row r="4" spans="1:9">
      <c r="A4" s="27" t="s">
        <v>198</v>
      </c>
      <c r="B4">
        <v>46</v>
      </c>
    </row>
    <row r="5" spans="1:9">
      <c r="A5" s="27" t="s">
        <v>202</v>
      </c>
      <c r="B5">
        <v>49</v>
      </c>
    </row>
    <row r="6" spans="1:9">
      <c r="A6" s="27" t="s">
        <v>201</v>
      </c>
      <c r="B6">
        <v>31</v>
      </c>
    </row>
    <row r="7" spans="1:9">
      <c r="A7" s="27" t="s">
        <v>396</v>
      </c>
      <c r="B7">
        <v>126</v>
      </c>
    </row>
  </sheetData>
  <mergeCells count="1">
    <mergeCell ref="A1:I1"/>
  </mergeCells>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7C79-36B3-46F7-BA15-598EC275A679}">
  <dimension ref="A1:J9"/>
  <sheetViews>
    <sheetView workbookViewId="0">
      <selection activeCell="B12" sqref="B12"/>
    </sheetView>
  </sheetViews>
  <sheetFormatPr defaultRowHeight="15"/>
  <cols>
    <col min="1" max="1" width="13.42578125" bestFit="1" customWidth="1"/>
    <col min="2" max="2" width="20.28515625" bestFit="1" customWidth="1"/>
  </cols>
  <sheetData>
    <row r="1" spans="1:10" ht="24">
      <c r="A1" s="90" t="s">
        <v>420</v>
      </c>
      <c r="B1" s="90"/>
      <c r="C1" s="90"/>
      <c r="D1" s="90"/>
      <c r="E1" s="90"/>
      <c r="F1" s="90"/>
      <c r="G1" s="90"/>
      <c r="H1" s="90"/>
      <c r="I1" s="90"/>
      <c r="J1" s="90"/>
    </row>
    <row r="3" spans="1:10">
      <c r="A3" s="61" t="s">
        <v>402</v>
      </c>
      <c r="B3" t="s">
        <v>397</v>
      </c>
    </row>
    <row r="4" spans="1:10">
      <c r="A4" s="27" t="s">
        <v>391</v>
      </c>
      <c r="B4" s="57">
        <v>228000</v>
      </c>
    </row>
    <row r="5" spans="1:10">
      <c r="A5" s="27" t="s">
        <v>394</v>
      </c>
      <c r="B5" s="57">
        <v>243000</v>
      </c>
    </row>
    <row r="6" spans="1:10">
      <c r="A6" s="27" t="s">
        <v>90</v>
      </c>
      <c r="B6" s="57">
        <v>106500</v>
      </c>
    </row>
    <row r="7" spans="1:10">
      <c r="A7" s="27" t="s">
        <v>0</v>
      </c>
      <c r="B7" s="57">
        <v>67000</v>
      </c>
    </row>
    <row r="8" spans="1:10">
      <c r="A8" s="27" t="s">
        <v>392</v>
      </c>
      <c r="B8" s="57">
        <v>170000</v>
      </c>
    </row>
    <row r="9" spans="1:10">
      <c r="A9" s="27" t="s">
        <v>396</v>
      </c>
      <c r="B9" s="57">
        <v>814500</v>
      </c>
    </row>
  </sheetData>
  <mergeCells count="1">
    <mergeCell ref="A1:J1"/>
  </mergeCell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1A91-AC29-4EE9-92A9-2AEC7DCA5DAC}">
  <dimension ref="A1:I7"/>
  <sheetViews>
    <sheetView workbookViewId="0">
      <selection activeCell="B11" sqref="B11"/>
    </sheetView>
  </sheetViews>
  <sheetFormatPr defaultRowHeight="15"/>
  <cols>
    <col min="1" max="1" width="13.42578125" bestFit="1" customWidth="1"/>
    <col min="2" max="2" width="20.28515625" bestFit="1" customWidth="1"/>
  </cols>
  <sheetData>
    <row r="1" spans="1:9" ht="24">
      <c r="A1" s="90" t="s">
        <v>418</v>
      </c>
      <c r="B1" s="90"/>
      <c r="C1" s="90"/>
      <c r="D1" s="90"/>
      <c r="E1" s="90"/>
      <c r="F1" s="90"/>
      <c r="G1" s="90"/>
      <c r="H1" s="90"/>
      <c r="I1" s="90"/>
    </row>
    <row r="3" spans="1:9">
      <c r="A3" s="61" t="s">
        <v>402</v>
      </c>
      <c r="B3" t="s">
        <v>397</v>
      </c>
    </row>
    <row r="4" spans="1:9">
      <c r="A4" s="27" t="s">
        <v>415</v>
      </c>
      <c r="B4" s="57">
        <v>312000</v>
      </c>
    </row>
    <row r="5" spans="1:9">
      <c r="A5" s="27" t="s">
        <v>416</v>
      </c>
      <c r="B5" s="57">
        <v>244000</v>
      </c>
    </row>
    <row r="6" spans="1:9">
      <c r="A6" s="27" t="s">
        <v>417</v>
      </c>
      <c r="B6" s="57">
        <v>258500</v>
      </c>
    </row>
    <row r="7" spans="1:9">
      <c r="A7" s="27" t="s">
        <v>396</v>
      </c>
      <c r="B7" s="57">
        <v>814500</v>
      </c>
    </row>
  </sheetData>
  <mergeCells count="1">
    <mergeCell ref="A1:I1"/>
  </mergeCells>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CBF49-E07A-4705-9C54-264BB03ACC11}">
  <dimension ref="A1:M8"/>
  <sheetViews>
    <sheetView workbookViewId="0">
      <selection activeCell="B12" sqref="B12"/>
    </sheetView>
  </sheetViews>
  <sheetFormatPr defaultRowHeight="15"/>
  <cols>
    <col min="1" max="1" width="17" bestFit="1" customWidth="1"/>
    <col min="2" max="2" width="16.85546875" bestFit="1" customWidth="1"/>
    <col min="3" max="3" width="7.140625" bestFit="1" customWidth="1"/>
    <col min="4" max="4" width="8" bestFit="1" customWidth="1"/>
    <col min="5" max="5" width="7" bestFit="1" customWidth="1"/>
    <col min="6" max="6" width="11.28515625" bestFit="1" customWidth="1"/>
  </cols>
  <sheetData>
    <row r="1" spans="1:13" ht="24">
      <c r="A1" s="90" t="s">
        <v>419</v>
      </c>
      <c r="B1" s="90"/>
      <c r="C1" s="90"/>
      <c r="D1" s="90"/>
      <c r="E1" s="90"/>
      <c r="F1" s="90"/>
      <c r="G1" s="90"/>
      <c r="H1" s="90"/>
      <c r="I1" s="90"/>
      <c r="J1" s="90"/>
      <c r="K1" s="90"/>
      <c r="L1" s="90"/>
      <c r="M1" s="90"/>
    </row>
    <row r="3" spans="1:13">
      <c r="A3" s="61" t="s">
        <v>406</v>
      </c>
      <c r="B3" s="61" t="s">
        <v>408</v>
      </c>
    </row>
    <row r="4" spans="1:13">
      <c r="A4" s="61" t="s">
        <v>402</v>
      </c>
      <c r="B4" t="s">
        <v>393</v>
      </c>
      <c r="C4" t="s">
        <v>162</v>
      </c>
      <c r="D4" t="s">
        <v>344</v>
      </c>
      <c r="E4" t="s">
        <v>342</v>
      </c>
      <c r="F4" t="s">
        <v>396</v>
      </c>
    </row>
    <row r="5" spans="1:13">
      <c r="A5" s="27" t="s">
        <v>297</v>
      </c>
      <c r="B5">
        <v>10</v>
      </c>
      <c r="C5">
        <v>4</v>
      </c>
      <c r="D5">
        <v>7</v>
      </c>
      <c r="E5">
        <v>20</v>
      </c>
      <c r="F5">
        <v>41</v>
      </c>
    </row>
    <row r="6" spans="1:13">
      <c r="A6" s="27" t="s">
        <v>92</v>
      </c>
      <c r="B6">
        <v>15</v>
      </c>
      <c r="C6">
        <v>2</v>
      </c>
      <c r="D6">
        <v>11</v>
      </c>
      <c r="E6">
        <v>40</v>
      </c>
      <c r="F6">
        <v>68</v>
      </c>
    </row>
    <row r="7" spans="1:13">
      <c r="A7" s="27" t="s">
        <v>395</v>
      </c>
      <c r="B7">
        <v>12</v>
      </c>
      <c r="C7">
        <v>5</v>
      </c>
      <c r="F7">
        <v>17</v>
      </c>
    </row>
    <row r="8" spans="1:13">
      <c r="A8" s="27" t="s">
        <v>396</v>
      </c>
      <c r="B8">
        <v>37</v>
      </c>
      <c r="C8">
        <v>11</v>
      </c>
      <c r="D8">
        <v>18</v>
      </c>
      <c r="E8">
        <v>60</v>
      </c>
      <c r="F8">
        <v>126</v>
      </c>
    </row>
  </sheetData>
  <mergeCells count="1">
    <mergeCell ref="A1:M1"/>
  </mergeCell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6296-F652-47AA-A7BB-A0D2E72AC944}">
  <dimension ref="A1:I17"/>
  <sheetViews>
    <sheetView workbookViewId="0">
      <selection activeCell="D19" sqref="D19"/>
    </sheetView>
  </sheetViews>
  <sheetFormatPr defaultRowHeight="15"/>
  <cols>
    <col min="1" max="1" width="15.7109375" customWidth="1"/>
    <col min="2" max="2" width="16.85546875" customWidth="1"/>
    <col min="3" max="3" width="24.5703125" customWidth="1"/>
    <col min="4" max="4" width="18.140625" customWidth="1"/>
    <col min="5" max="5" width="16.28515625" customWidth="1"/>
    <col min="6" max="6" width="19.85546875" customWidth="1"/>
    <col min="7" max="7" width="17.5703125" customWidth="1"/>
    <col min="8" max="8" width="19" customWidth="1"/>
  </cols>
  <sheetData>
    <row r="1" spans="1:9" ht="24">
      <c r="A1" s="70" t="s">
        <v>403</v>
      </c>
      <c r="B1" s="70"/>
      <c r="C1" s="70"/>
      <c r="D1" s="70"/>
      <c r="E1" s="70"/>
      <c r="F1" s="70"/>
      <c r="G1" s="70"/>
      <c r="H1" s="70"/>
      <c r="I1" s="66"/>
    </row>
    <row r="2" spans="1:9">
      <c r="A2" s="62" t="s">
        <v>154</v>
      </c>
      <c r="B2" s="62" t="s">
        <v>387</v>
      </c>
      <c r="C2" s="62" t="s">
        <v>224</v>
      </c>
      <c r="D2" s="62" t="s">
        <v>290</v>
      </c>
      <c r="E2" s="62" t="s">
        <v>156</v>
      </c>
      <c r="F2" s="62" t="s">
        <v>388</v>
      </c>
      <c r="G2" s="62" t="s">
        <v>389</v>
      </c>
      <c r="H2" s="62" t="s">
        <v>390</v>
      </c>
    </row>
    <row r="3" spans="1:9">
      <c r="A3" s="63">
        <v>46027</v>
      </c>
      <c r="B3" s="64" t="s">
        <v>391</v>
      </c>
      <c r="C3" s="64" t="s">
        <v>297</v>
      </c>
      <c r="D3" s="64" t="s">
        <v>202</v>
      </c>
      <c r="E3" s="64" t="s">
        <v>162</v>
      </c>
      <c r="F3" s="64">
        <v>3</v>
      </c>
      <c r="G3" s="65">
        <v>45000</v>
      </c>
      <c r="H3" s="65">
        <v>135000</v>
      </c>
    </row>
    <row r="4" spans="1:9">
      <c r="A4" s="63">
        <v>46030</v>
      </c>
      <c r="B4" s="64" t="s">
        <v>392</v>
      </c>
      <c r="C4" s="64" t="s">
        <v>92</v>
      </c>
      <c r="D4" s="64" t="s">
        <v>198</v>
      </c>
      <c r="E4" s="64" t="s">
        <v>344</v>
      </c>
      <c r="F4" s="64">
        <v>5</v>
      </c>
      <c r="G4" s="65">
        <v>12000</v>
      </c>
      <c r="H4" s="65">
        <v>60000</v>
      </c>
    </row>
    <row r="5" spans="1:9">
      <c r="A5" s="63">
        <v>46034</v>
      </c>
      <c r="B5" s="64" t="s">
        <v>0</v>
      </c>
      <c r="C5" s="64" t="s">
        <v>297</v>
      </c>
      <c r="D5" s="64" t="s">
        <v>202</v>
      </c>
      <c r="E5" s="64" t="s">
        <v>393</v>
      </c>
      <c r="F5" s="64">
        <v>10</v>
      </c>
      <c r="G5" s="65">
        <v>1500</v>
      </c>
      <c r="H5" s="65">
        <v>15000</v>
      </c>
    </row>
    <row r="6" spans="1:9">
      <c r="A6" s="63">
        <v>46037</v>
      </c>
      <c r="B6" s="64" t="s">
        <v>394</v>
      </c>
      <c r="C6" s="64" t="s">
        <v>395</v>
      </c>
      <c r="D6" s="64" t="s">
        <v>201</v>
      </c>
      <c r="E6" s="64" t="s">
        <v>162</v>
      </c>
      <c r="F6" s="64">
        <v>2</v>
      </c>
      <c r="G6" s="65">
        <v>45000</v>
      </c>
      <c r="H6" s="65">
        <v>90000</v>
      </c>
    </row>
    <row r="7" spans="1:9">
      <c r="A7" s="63">
        <v>46042</v>
      </c>
      <c r="B7" s="64" t="s">
        <v>90</v>
      </c>
      <c r="C7" s="64" t="s">
        <v>92</v>
      </c>
      <c r="D7" s="64" t="s">
        <v>202</v>
      </c>
      <c r="E7" s="64" t="s">
        <v>342</v>
      </c>
      <c r="F7" s="64">
        <v>15</v>
      </c>
      <c r="G7" s="65">
        <v>800</v>
      </c>
      <c r="H7" s="65">
        <v>12000</v>
      </c>
    </row>
    <row r="8" spans="1:9">
      <c r="A8" s="63">
        <v>46056</v>
      </c>
      <c r="B8" s="64" t="s">
        <v>391</v>
      </c>
      <c r="C8" s="64" t="s">
        <v>297</v>
      </c>
      <c r="D8" s="64" t="s">
        <v>198</v>
      </c>
      <c r="E8" s="64" t="s">
        <v>344</v>
      </c>
      <c r="F8" s="64">
        <v>4</v>
      </c>
      <c r="G8" s="65">
        <v>12000</v>
      </c>
      <c r="H8" s="65">
        <v>48000</v>
      </c>
    </row>
    <row r="9" spans="1:9">
      <c r="A9" s="63">
        <v>46060</v>
      </c>
      <c r="B9" s="64" t="s">
        <v>392</v>
      </c>
      <c r="C9" s="64" t="s">
        <v>92</v>
      </c>
      <c r="D9" s="64" t="s">
        <v>202</v>
      </c>
      <c r="E9" s="64" t="s">
        <v>162</v>
      </c>
      <c r="F9" s="64">
        <v>2</v>
      </c>
      <c r="G9" s="65">
        <v>45000</v>
      </c>
      <c r="H9" s="65">
        <v>90000</v>
      </c>
    </row>
    <row r="10" spans="1:9">
      <c r="A10" s="63">
        <v>46064</v>
      </c>
      <c r="B10" s="64" t="s">
        <v>0</v>
      </c>
      <c r="C10" s="64" t="s">
        <v>297</v>
      </c>
      <c r="D10" s="64" t="s">
        <v>201</v>
      </c>
      <c r="E10" s="64" t="s">
        <v>342</v>
      </c>
      <c r="F10" s="64">
        <v>20</v>
      </c>
      <c r="G10" s="65">
        <v>800</v>
      </c>
      <c r="H10" s="65">
        <v>16000</v>
      </c>
    </row>
    <row r="11" spans="1:9">
      <c r="A11" s="63">
        <v>46071</v>
      </c>
      <c r="B11" s="64" t="s">
        <v>394</v>
      </c>
      <c r="C11" s="64" t="s">
        <v>395</v>
      </c>
      <c r="D11" s="64" t="s">
        <v>198</v>
      </c>
      <c r="E11" s="64" t="s">
        <v>393</v>
      </c>
      <c r="F11" s="64">
        <v>12</v>
      </c>
      <c r="G11" s="65">
        <v>1500</v>
      </c>
      <c r="H11" s="65">
        <v>18000</v>
      </c>
    </row>
    <row r="12" spans="1:9">
      <c r="A12" s="63">
        <v>46077</v>
      </c>
      <c r="B12" s="64" t="s">
        <v>90</v>
      </c>
      <c r="C12" s="64" t="s">
        <v>92</v>
      </c>
      <c r="D12" s="64" t="s">
        <v>201</v>
      </c>
      <c r="E12" s="64" t="s">
        <v>344</v>
      </c>
      <c r="F12" s="64">
        <v>6</v>
      </c>
      <c r="G12" s="65">
        <v>12000</v>
      </c>
      <c r="H12" s="65">
        <v>72000</v>
      </c>
    </row>
    <row r="13" spans="1:9">
      <c r="A13" s="63">
        <v>46085</v>
      </c>
      <c r="B13" s="64" t="s">
        <v>391</v>
      </c>
      <c r="C13" s="64" t="s">
        <v>297</v>
      </c>
      <c r="D13" s="64" t="s">
        <v>202</v>
      </c>
      <c r="E13" s="64" t="s">
        <v>162</v>
      </c>
      <c r="F13" s="64">
        <v>1</v>
      </c>
      <c r="G13" s="65">
        <v>45000</v>
      </c>
      <c r="H13" s="65">
        <v>45000</v>
      </c>
    </row>
    <row r="14" spans="1:9">
      <c r="A14" s="63">
        <v>46090</v>
      </c>
      <c r="B14" s="64" t="s">
        <v>392</v>
      </c>
      <c r="C14" s="64" t="s">
        <v>92</v>
      </c>
      <c r="D14" s="64" t="s">
        <v>198</v>
      </c>
      <c r="E14" s="64" t="s">
        <v>342</v>
      </c>
      <c r="F14" s="64">
        <v>25</v>
      </c>
      <c r="G14" s="65">
        <v>800</v>
      </c>
      <c r="H14" s="65">
        <v>20000</v>
      </c>
    </row>
    <row r="15" spans="1:9">
      <c r="A15" s="63">
        <v>46094</v>
      </c>
      <c r="B15" s="64" t="s">
        <v>0</v>
      </c>
      <c r="C15" s="64" t="s">
        <v>297</v>
      </c>
      <c r="D15" s="64" t="s">
        <v>202</v>
      </c>
      <c r="E15" s="64" t="s">
        <v>344</v>
      </c>
      <c r="F15" s="64">
        <v>3</v>
      </c>
      <c r="G15" s="65">
        <v>12000</v>
      </c>
      <c r="H15" s="65">
        <v>36000</v>
      </c>
    </row>
    <row r="16" spans="1:9">
      <c r="A16" s="63">
        <v>46098</v>
      </c>
      <c r="B16" s="64" t="s">
        <v>394</v>
      </c>
      <c r="C16" s="64" t="s">
        <v>395</v>
      </c>
      <c r="D16" s="64" t="s">
        <v>201</v>
      </c>
      <c r="E16" s="64" t="s">
        <v>162</v>
      </c>
      <c r="F16" s="64">
        <v>3</v>
      </c>
      <c r="G16" s="65">
        <v>45000</v>
      </c>
      <c r="H16" s="65">
        <v>135000</v>
      </c>
    </row>
    <row r="17" spans="1:8">
      <c r="A17" s="63">
        <v>46103</v>
      </c>
      <c r="B17" s="64" t="s">
        <v>90</v>
      </c>
      <c r="C17" s="64" t="s">
        <v>92</v>
      </c>
      <c r="D17" s="64" t="s">
        <v>202</v>
      </c>
      <c r="E17" s="64" t="s">
        <v>393</v>
      </c>
      <c r="F17" s="64">
        <v>15</v>
      </c>
      <c r="G17" s="65">
        <v>1500</v>
      </c>
      <c r="H17" s="65">
        <v>22500</v>
      </c>
    </row>
  </sheetData>
  <mergeCells count="1">
    <mergeCell ref="A1:H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9C97-3880-4777-B215-AC079A04C865}">
  <dimension ref="F1:Q1"/>
  <sheetViews>
    <sheetView workbookViewId="0">
      <selection activeCell="AA3" sqref="AA3"/>
    </sheetView>
  </sheetViews>
  <sheetFormatPr defaultRowHeight="15"/>
  <sheetData>
    <row r="1" spans="6:17" ht="31.5">
      <c r="F1" s="96" t="s">
        <v>421</v>
      </c>
      <c r="G1" s="96"/>
      <c r="H1" s="96"/>
      <c r="I1" s="96"/>
      <c r="J1" s="96"/>
      <c r="K1" s="96"/>
      <c r="L1" s="96"/>
      <c r="M1" s="96"/>
      <c r="N1" s="96"/>
      <c r="O1" s="96"/>
      <c r="P1" s="96"/>
      <c r="Q1" s="96"/>
    </row>
  </sheetData>
  <mergeCells count="1">
    <mergeCell ref="F1:Q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AD6AC-E1CA-4EDD-B863-2438D109CADD}">
  <dimension ref="A1:F8"/>
  <sheetViews>
    <sheetView tabSelected="1" workbookViewId="0">
      <selection activeCell="C11" sqref="C11"/>
    </sheetView>
  </sheetViews>
  <sheetFormatPr defaultRowHeight="15"/>
  <cols>
    <col min="1" max="1" width="33.5703125" customWidth="1"/>
    <col min="2" max="2" width="18.5703125" customWidth="1"/>
    <col min="3" max="3" width="25.28515625" customWidth="1"/>
    <col min="4" max="4" width="19.7109375" customWidth="1"/>
    <col min="5" max="5" width="29.42578125" customWidth="1"/>
    <col min="6" max="6" width="19.85546875" customWidth="1"/>
  </cols>
  <sheetData>
    <row r="1" spans="1:6" ht="24">
      <c r="A1" s="97" t="s">
        <v>414</v>
      </c>
      <c r="B1" s="97"/>
      <c r="C1" s="97"/>
      <c r="D1" s="97"/>
      <c r="E1" s="97"/>
      <c r="F1" s="97"/>
    </row>
    <row r="3" spans="1:6" ht="18.75">
      <c r="A3" s="117" t="s">
        <v>409</v>
      </c>
      <c r="B3" s="117"/>
      <c r="C3" s="117" t="s">
        <v>411</v>
      </c>
      <c r="D3" s="117"/>
      <c r="E3" s="117" t="s">
        <v>412</v>
      </c>
      <c r="F3" s="117"/>
    </row>
    <row r="4" spans="1:6">
      <c r="A4" s="67" t="s">
        <v>80</v>
      </c>
      <c r="B4" s="67" t="s">
        <v>206</v>
      </c>
      <c r="C4" s="67" t="s">
        <v>332</v>
      </c>
      <c r="D4" s="67" t="s">
        <v>206</v>
      </c>
      <c r="E4" s="67" t="s">
        <v>291</v>
      </c>
      <c r="F4" s="67" t="s">
        <v>413</v>
      </c>
    </row>
    <row r="5" spans="1:6">
      <c r="A5" s="1" t="s">
        <v>297</v>
      </c>
      <c r="B5" s="11">
        <f>SUMIF('SALES DATA							'!C3:C17,'PIVOT TABLE SUMMARY'!A5,'SALES DATA							'!H3:H17)</f>
        <v>295000</v>
      </c>
      <c r="C5" s="1" t="s">
        <v>162</v>
      </c>
      <c r="D5" s="11">
        <f>SUMIF('SALES DATA							'!E3:E17,'PIVOT TABLE SUMMARY'!C5,'SALES DATA							'!H3:H17)</f>
        <v>495000</v>
      </c>
      <c r="E5" s="1" t="s">
        <v>202</v>
      </c>
      <c r="F5" s="1">
        <f>SUMIF('SALES DATA							'!D3:D17,'PIVOT TABLE SUMMARY'!E5,'SALES DATA							'!F3:F17)</f>
        <v>49</v>
      </c>
    </row>
    <row r="6" spans="1:6">
      <c r="A6" s="1" t="s">
        <v>410</v>
      </c>
      <c r="B6" s="11">
        <f>SUMIF('SALES DATA							'!C3:C17,'PIVOT TABLE SUMMARY'!A6,'SALES DATA							'!H3:H17)</f>
        <v>0</v>
      </c>
      <c r="C6" s="1" t="s">
        <v>344</v>
      </c>
      <c r="D6" s="11">
        <f>SUMIF('SALES DATA							'!E3:E17,'PIVOT TABLE SUMMARY'!C6,'SALES DATA							'!H3:H17)</f>
        <v>216000</v>
      </c>
      <c r="E6" s="1" t="s">
        <v>198</v>
      </c>
      <c r="F6" s="1">
        <f>SUMIF('SALES DATA							'!D3:D17,'PIVOT TABLE SUMMARY'!E6,'SALES DATA							'!F3:F17)</f>
        <v>46</v>
      </c>
    </row>
    <row r="7" spans="1:6">
      <c r="A7" s="1" t="s">
        <v>395</v>
      </c>
      <c r="B7" s="11">
        <f>SUMIF('SALES DATA							'!C5:C19,'PIVOT TABLE SUMMARY'!A7,'SALES DATA							'!H5:H19)</f>
        <v>243000</v>
      </c>
      <c r="C7" s="1" t="s">
        <v>393</v>
      </c>
      <c r="D7" s="11">
        <f>SUMIF('SALES DATA							'!E3:E17,'PIVOT TABLE SUMMARY'!C7,'SALES DATA							'!H3:H17)</f>
        <v>55500</v>
      </c>
      <c r="E7" s="1" t="s">
        <v>201</v>
      </c>
      <c r="F7" s="1">
        <f>SUMIF('SALES DATA							'!D3:D17,'PIVOT TABLE SUMMARY'!E7,'SALES DATA							'!F3:F17)</f>
        <v>31</v>
      </c>
    </row>
    <row r="8" spans="1:6">
      <c r="A8" s="1"/>
      <c r="B8" s="11"/>
      <c r="C8" s="1" t="s">
        <v>342</v>
      </c>
      <c r="D8" s="11">
        <f>SUMIF('SALES DATA							'!E3:E17,'PIVOT TABLE SUMMARY'!C8,'SALES DATA							'!H3:H17)</f>
        <v>48000</v>
      </c>
      <c r="E8" s="1"/>
      <c r="F8" s="1"/>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SALARY SHEET</vt:lpstr>
      <vt:lpstr>SALARY SHEET 2</vt:lpstr>
      <vt:lpstr>MATHEMATICAL FUNCTION</vt:lpstr>
      <vt:lpstr>IF CONDITION</vt:lpstr>
      <vt:lpstr>FINANCIAL CALCULATION</vt:lpstr>
      <vt:lpstr>TIME AND DATE</vt:lpstr>
      <vt:lpstr>COUNT</vt:lpstr>
      <vt:lpstr>ELIGBLE OR NOT ELIGBLE</vt:lpstr>
      <vt:lpstr>FORMULA FOR EXCEL BEGINNERS</vt:lpstr>
      <vt:lpstr>SUMIF VS COUNTIF VS AVERAGEIF</vt:lpstr>
      <vt:lpstr>SUMIFS		</vt:lpstr>
      <vt:lpstr>SUMIF VS SUM+FILTER FORMULA			</vt:lpstr>
      <vt:lpstr>DATE VS EDATE FORMULA						</vt:lpstr>
      <vt:lpstr>VLOOKUP 1</vt:lpstr>
      <vt:lpstr>VLOOKUP 2</vt:lpstr>
      <vt:lpstr>VLOOKUP 3</vt:lpstr>
      <vt:lpstr>VLOOKUP 4</vt:lpstr>
      <vt:lpstr>XLOOKUP</vt:lpstr>
      <vt:lpstr>HLOOKUP</vt:lpstr>
      <vt:lpstr>LOOKUP FORMULA</vt:lpstr>
      <vt:lpstr>INDEX FUNCTION</vt:lpstr>
      <vt:lpstr>MATCH FUNCTION</vt:lpstr>
      <vt:lpstr>INDEX + MATCH</vt:lpstr>
      <vt:lpstr>POVIT TABLE AND CHART</vt:lpstr>
      <vt:lpstr>DATA VALIDATION AND FILTER					</vt:lpstr>
      <vt:lpstr>DATA 1</vt:lpstr>
      <vt:lpstr>DATA 2</vt:lpstr>
      <vt:lpstr>DATA 3</vt:lpstr>
      <vt:lpstr>DATA 4</vt:lpstr>
      <vt:lpstr>DATA 5</vt:lpstr>
      <vt:lpstr>DATA 6</vt:lpstr>
      <vt:lpstr>SALES DATA							</vt:lpstr>
      <vt:lpstr>DASHBOARD</vt:lpstr>
      <vt:lpstr>PIVOT TABLE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bala39136@gmail.com</dc:creator>
  <cp:lastModifiedBy>bala39136@gmail.com</cp:lastModifiedBy>
  <dcterms:created xsi:type="dcterms:W3CDTF">2026-08-27T06:39:26Z</dcterms:created>
  <dcterms:modified xsi:type="dcterms:W3CDTF">2026-10-13T06:55:37Z</dcterms:modified>
</cp:coreProperties>
</file>